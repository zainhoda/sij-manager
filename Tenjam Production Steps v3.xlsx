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hoda/Library/Mobile Documents/com~apple~CloudDocs/SIJ/2023 Engagement/Production/"/>
    </mc:Choice>
  </mc:AlternateContent>
  <xr:revisionPtr revIDLastSave="0" documentId="8_{34A18E36-7D9B-C841-B0B4-3A95CE75FF0D}" xr6:coauthVersionLast="47" xr6:coauthVersionMax="47" xr10:uidLastSave="{00000000-0000-0000-0000-000000000000}"/>
  <bookViews>
    <workbookView xWindow="0" yWindow="540" windowWidth="22940" windowHeight="14360" activeTab="1" xr2:uid="{9A4A6A3E-5E15-8843-AEB1-689585F54B57}"/>
  </bookViews>
  <sheets>
    <sheet name="Work Steps Updated" sheetId="3" r:id="rId1"/>
    <sheet name="Production Ste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0" i="2" l="1"/>
  <c r="AG53" i="2"/>
  <c r="AG52" i="2"/>
  <c r="AJ51" i="2"/>
  <c r="AI52" i="2" s="1"/>
  <c r="AJ52" i="2" s="1"/>
  <c r="AI53" i="2" s="1"/>
  <c r="AJ53" i="2" s="1"/>
  <c r="AG51" i="2"/>
  <c r="Z50" i="2"/>
  <c r="AC46" i="2"/>
  <c r="Z47" i="2"/>
  <c r="AB46" i="2"/>
  <c r="Z46" i="2"/>
  <c r="AB43" i="2"/>
  <c r="Z43" i="2"/>
  <c r="AC43" i="2" s="1"/>
  <c r="Z42" i="2"/>
  <c r="AC42" i="2" s="1"/>
  <c r="S41" i="2"/>
  <c r="V40" i="2"/>
  <c r="U41" i="2" s="1"/>
  <c r="V41" i="2" s="1"/>
  <c r="S40" i="2"/>
  <c r="U37" i="2"/>
  <c r="V37" i="2" s="1"/>
  <c r="S37" i="2"/>
  <c r="U36" i="2"/>
  <c r="V36" i="2" s="1"/>
  <c r="S36" i="2"/>
  <c r="U35" i="2"/>
  <c r="V35" i="2" s="1"/>
  <c r="S35" i="2"/>
  <c r="V34" i="2"/>
  <c r="V33" i="2"/>
  <c r="S34" i="2"/>
  <c r="S33" i="2"/>
  <c r="S32" i="2"/>
  <c r="S31" i="2"/>
  <c r="V31" i="2" s="1"/>
  <c r="V28" i="2"/>
  <c r="U28" i="2"/>
  <c r="S28" i="2"/>
  <c r="U27" i="2"/>
  <c r="V27" i="2" s="1"/>
  <c r="S27" i="2"/>
  <c r="U26" i="2"/>
  <c r="V26" i="2" s="1"/>
  <c r="S26" i="2"/>
  <c r="V24" i="2"/>
  <c r="V23" i="2"/>
  <c r="S25" i="2"/>
  <c r="U24" i="2"/>
  <c r="S24" i="2"/>
  <c r="S23" i="2"/>
  <c r="V20" i="2"/>
  <c r="S20" i="2"/>
  <c r="V19" i="2"/>
  <c r="U20" i="2" s="1"/>
  <c r="S19" i="2"/>
  <c r="O43" i="2"/>
  <c r="G35" i="2"/>
  <c r="G34" i="2"/>
  <c r="H31" i="2"/>
  <c r="H24" i="2"/>
  <c r="H23" i="2"/>
  <c r="H19" i="2"/>
  <c r="H14" i="2"/>
  <c r="G25" i="2"/>
  <c r="H25" i="2" s="1"/>
  <c r="L14" i="2"/>
  <c r="O14" i="2" s="1"/>
  <c r="S53" i="2"/>
  <c r="S52" i="2"/>
  <c r="U51" i="2"/>
  <c r="V51" i="2" s="1"/>
  <c r="S51" i="2"/>
  <c r="V50" i="2"/>
  <c r="S50" i="2"/>
  <c r="L47" i="2"/>
  <c r="N46" i="2"/>
  <c r="O46" i="2" s="1"/>
  <c r="L46" i="2"/>
  <c r="L43" i="2"/>
  <c r="L42" i="2"/>
  <c r="N41" i="2"/>
  <c r="O41" i="2" s="1"/>
  <c r="L41" i="2"/>
  <c r="L40" i="2"/>
  <c r="O40" i="2" s="1"/>
  <c r="E28" i="2"/>
  <c r="E27" i="2"/>
  <c r="E26" i="2"/>
  <c r="G24" i="2"/>
  <c r="E37" i="2"/>
  <c r="E36" i="2"/>
  <c r="E35" i="2"/>
  <c r="E31" i="2"/>
  <c r="E32" i="2"/>
  <c r="E33" i="2"/>
  <c r="E34" i="2"/>
  <c r="E25" i="2"/>
  <c r="E24" i="2"/>
  <c r="E23" i="2"/>
  <c r="E20" i="2"/>
  <c r="E19" i="2"/>
  <c r="E14" i="2"/>
  <c r="C65" i="3"/>
  <c r="C64" i="3"/>
  <c r="C63" i="3"/>
  <c r="D13" i="3"/>
  <c r="D12" i="3" s="1"/>
  <c r="C51" i="3"/>
  <c r="C41" i="3"/>
  <c r="C32" i="3"/>
  <c r="C24" i="3"/>
  <c r="E55" i="3"/>
  <c r="F55" i="3" s="1"/>
  <c r="G55" i="3" s="1"/>
  <c r="D55" i="3"/>
  <c r="E54" i="3"/>
  <c r="F54" i="3" s="1"/>
  <c r="G54" i="3" s="1"/>
  <c r="D54" i="3"/>
  <c r="E53" i="3"/>
  <c r="F53" i="3" s="1"/>
  <c r="G53" i="3" s="1"/>
  <c r="D53" i="3"/>
  <c r="E52" i="3"/>
  <c r="F52" i="3" s="1"/>
  <c r="G52" i="3" s="1"/>
  <c r="D52" i="3"/>
  <c r="E48" i="3"/>
  <c r="F48" i="3" s="1"/>
  <c r="G48" i="3" s="1"/>
  <c r="D48" i="3"/>
  <c r="E49" i="3"/>
  <c r="F49" i="3" s="1"/>
  <c r="G49" i="3" s="1"/>
  <c r="D49" i="3"/>
  <c r="E45" i="3"/>
  <c r="F45" i="3" s="1"/>
  <c r="G45" i="3" s="1"/>
  <c r="D45" i="3"/>
  <c r="E44" i="3"/>
  <c r="F44" i="3" s="1"/>
  <c r="G44" i="3" s="1"/>
  <c r="D44" i="3"/>
  <c r="E43" i="3"/>
  <c r="F43" i="3" s="1"/>
  <c r="G43" i="3" s="1"/>
  <c r="D43" i="3"/>
  <c r="E42" i="3"/>
  <c r="F42" i="3" s="1"/>
  <c r="G42" i="3" s="1"/>
  <c r="D42" i="3"/>
  <c r="E39" i="3"/>
  <c r="F39" i="3" s="1"/>
  <c r="G39" i="3" s="1"/>
  <c r="D39" i="3"/>
  <c r="E38" i="3"/>
  <c r="F38" i="3" s="1"/>
  <c r="G38" i="3" s="1"/>
  <c r="D38" i="3"/>
  <c r="E37" i="3"/>
  <c r="F37" i="3" s="1"/>
  <c r="G37" i="3" s="1"/>
  <c r="D37" i="3"/>
  <c r="E36" i="3"/>
  <c r="F36" i="3" s="1"/>
  <c r="G36" i="3" s="1"/>
  <c r="D36" i="3"/>
  <c r="E35" i="3"/>
  <c r="F35" i="3" s="1"/>
  <c r="G35" i="3" s="1"/>
  <c r="D35" i="3"/>
  <c r="E34" i="3"/>
  <c r="F34" i="3" s="1"/>
  <c r="G34" i="3" s="1"/>
  <c r="D34" i="3"/>
  <c r="E33" i="3"/>
  <c r="F33" i="3" s="1"/>
  <c r="G33" i="3" s="1"/>
  <c r="D33" i="3"/>
  <c r="E30" i="3"/>
  <c r="F30" i="3" s="1"/>
  <c r="G30" i="3" s="1"/>
  <c r="D30" i="3"/>
  <c r="E29" i="3"/>
  <c r="F29" i="3" s="1"/>
  <c r="G29" i="3" s="1"/>
  <c r="D29" i="3"/>
  <c r="E28" i="3"/>
  <c r="F28" i="3" s="1"/>
  <c r="G28" i="3" s="1"/>
  <c r="D28" i="3"/>
  <c r="E27" i="3"/>
  <c r="F27" i="3" s="1"/>
  <c r="G27" i="3" s="1"/>
  <c r="D27" i="3"/>
  <c r="E26" i="3"/>
  <c r="F26" i="3" s="1"/>
  <c r="G26" i="3" s="1"/>
  <c r="D26" i="3"/>
  <c r="E25" i="3"/>
  <c r="F25" i="3" s="1"/>
  <c r="G25" i="3" s="1"/>
  <c r="D25" i="3"/>
  <c r="E22" i="3"/>
  <c r="F22" i="3" s="1"/>
  <c r="G22" i="3" s="1"/>
  <c r="D22" i="3"/>
  <c r="E21" i="3"/>
  <c r="F21" i="3" s="1"/>
  <c r="G21" i="3" s="1"/>
  <c r="D21" i="3"/>
  <c r="D20" i="3" s="1"/>
  <c r="E16" i="3"/>
  <c r="F16" i="3" s="1"/>
  <c r="G16" i="3" s="1"/>
  <c r="G15" i="3" s="1"/>
  <c r="D16" i="3"/>
  <c r="D15" i="3" s="1"/>
  <c r="E13" i="3"/>
  <c r="F13" i="3" s="1"/>
  <c r="G13" i="3" s="1"/>
  <c r="G12" i="3" s="1"/>
  <c r="E10" i="3"/>
  <c r="D10" i="3"/>
  <c r="E9" i="3"/>
  <c r="F9" i="3" s="1"/>
  <c r="G9" i="3" s="1"/>
  <c r="D9" i="3"/>
  <c r="C47" i="3"/>
  <c r="C20" i="3"/>
  <c r="C15" i="3"/>
  <c r="C12" i="3"/>
  <c r="C7" i="3"/>
  <c r="C5" i="3" s="1"/>
  <c r="D5" i="3" s="1"/>
  <c r="AC50" i="2" l="1"/>
  <c r="AB47" i="2"/>
  <c r="AC47" i="2" s="1"/>
  <c r="U32" i="2"/>
  <c r="V32" i="2" s="1"/>
  <c r="U25" i="2"/>
  <c r="V25" i="2" s="1"/>
  <c r="N47" i="2"/>
  <c r="O47" i="2" s="1"/>
  <c r="U52" i="2"/>
  <c r="V52" i="2" s="1"/>
  <c r="N42" i="2"/>
  <c r="O42" i="2" s="1"/>
  <c r="G32" i="2"/>
  <c r="H32" i="2" s="1"/>
  <c r="G20" i="2"/>
  <c r="G20" i="3"/>
  <c r="F47" i="3"/>
  <c r="D41" i="3"/>
  <c r="G47" i="3"/>
  <c r="D24" i="3"/>
  <c r="D32" i="3"/>
  <c r="G41" i="3"/>
  <c r="G51" i="3"/>
  <c r="F20" i="3"/>
  <c r="E15" i="3"/>
  <c r="D47" i="3"/>
  <c r="D51" i="3"/>
  <c r="E20" i="3"/>
  <c r="G24" i="3"/>
  <c r="G32" i="3"/>
  <c r="F15" i="3"/>
  <c r="E32" i="3"/>
  <c r="E47" i="3"/>
  <c r="E51" i="3"/>
  <c r="F51" i="3"/>
  <c r="F32" i="3"/>
  <c r="E41" i="3"/>
  <c r="E24" i="3"/>
  <c r="E12" i="3"/>
  <c r="F24" i="3"/>
  <c r="F12" i="3"/>
  <c r="F41" i="3"/>
  <c r="E7" i="3"/>
  <c r="F7" i="3" s="1"/>
  <c r="G7" i="3" s="1"/>
  <c r="D7" i="3"/>
  <c r="F10" i="3"/>
  <c r="G10" i="3" s="1"/>
  <c r="C18" i="3"/>
  <c r="C59" i="3" s="1"/>
  <c r="U33" i="2" l="1"/>
  <c r="H20" i="2"/>
  <c r="U53" i="2"/>
  <c r="V53" i="2" s="1"/>
  <c r="N43" i="2"/>
  <c r="G33" i="2"/>
  <c r="H33" i="2" s="1"/>
  <c r="G18" i="3"/>
  <c r="G59" i="3" s="1"/>
  <c r="F18" i="3"/>
  <c r="C58" i="3"/>
  <c r="D18" i="3"/>
  <c r="G5" i="3"/>
  <c r="G58" i="3" s="1"/>
  <c r="E5" i="3"/>
  <c r="E18" i="3"/>
  <c r="E58" i="3" s="1"/>
  <c r="F5" i="3"/>
  <c r="U34" i="2" l="1"/>
  <c r="G26" i="2"/>
  <c r="H26" i="2" s="1"/>
  <c r="H34" i="2"/>
  <c r="F58" i="3"/>
  <c r="E59" i="3"/>
  <c r="F59" i="3"/>
  <c r="G27" i="2" l="1"/>
  <c r="H27" i="2" s="1"/>
  <c r="H35" i="2"/>
  <c r="G28" i="2" l="1"/>
  <c r="G36" i="2"/>
  <c r="H36" i="2" s="1"/>
  <c r="H28" i="2" l="1"/>
  <c r="G37" i="2"/>
  <c r="H37" i="2" s="1"/>
</calcChain>
</file>

<file path=xl/sharedStrings.xml><?xml version="1.0" encoding="utf-8"?>
<sst xmlns="http://schemas.openxmlformats.org/spreadsheetml/2006/main" count="215" uniqueCount="90">
  <si>
    <t>1. CUTTING:</t>
  </si>
  <si>
    <t>﻿﻿﻿Fabric:</t>
  </si>
  <si>
    <t>Cut the fabric panels. 18s (just cut time, no set-up)</t>
  </si>
  <si>
    <t>﻿﻿﻿Trim:</t>
  </si>
  <si>
    <t>I. Cut the Velcro pieces. 2s</t>
  </si>
  <si>
    <t>II. Cut the zipper. 5s</t>
  </si>
  <si>
    <t>2. SILKSCREEN:</t>
  </si>
  <si>
    <t>A. N/A</t>
  </si>
  <si>
    <t>3. PREP STEPS:</t>
  </si>
  <si>
    <t>4. SEWING:</t>
  </si>
  <si>
    <t>A. Small Velcro Pocket</t>
  </si>
  <si>
    <t>I. Hem the short edges. 20s</t>
  </si>
  <si>
    <t>B. Connector Strap</t>
  </si>
  <si>
    <t>C. Hanging big pocket</t>
  </si>
  <si>
    <t>D. Cushion cover</t>
  </si>
  <si>
    <t>E. Finishing:</t>
  </si>
  <si>
    <t>﻿﻿﻿Insert the foam piece into the headrest. 30s</t>
  </si>
  <si>
    <t>﻿﻿﻿Pack. 60s</t>
  </si>
  <si>
    <t>Time (sec/piece)</t>
  </si>
  <si>
    <t>Order Quantity</t>
  </si>
  <si>
    <t>Total Time (sec)</t>
  </si>
  <si>
    <t>Total Time (min)</t>
  </si>
  <si>
    <t>Total Time (hours)</t>
  </si>
  <si>
    <t>5.  INSPECTION:</t>
  </si>
  <si>
    <t>TOTAL</t>
  </si>
  <si>
    <t>TOTAL Number of Resources</t>
  </si>
  <si>
    <t>Names</t>
  </si>
  <si>
    <t># of People</t>
  </si>
  <si>
    <t>Output/Hour</t>
  </si>
  <si>
    <t>Day Output</t>
  </si>
  <si>
    <t>Total Output</t>
  </si>
  <si>
    <t>Monday - 1/12/20225</t>
  </si>
  <si>
    <t>Tuesday - 1/13/20225</t>
  </si>
  <si>
    <t>Wednesday - 1/14/20225</t>
  </si>
  <si>
    <t>I. Sew the panel together along the one long side. 12s</t>
  </si>
  <si>
    <t>Il. Sew on the hook Velcro. 25s</t>
  </si>
  <si>
    <t>Il. Turn inside-out. 28s</t>
  </si>
  <si>
    <t>III. Sew the 2 sides of the connector strap panel. 25s</t>
  </si>
  <si>
    <t>IV. Sew the connector strap to the small Velcro pocket, add the loop Velcro. 35s</t>
  </si>
  <si>
    <t>V. Close the sides of the small Velcro pocket and cut corners. 15s</t>
  </si>
  <si>
    <t>I. Hem long side. 17s</t>
  </si>
  <si>
    <t>Il. Fold to the marking, and close both sides. 35s</t>
  </si>
  <si>
    <t>IlI. Add stitching to the lower corners to create volume turn right side out. 36s</t>
  </si>
  <si>
    <t>Il. Cut off extra material and add the zipper pull. 30s</t>
  </si>
  <si>
    <t>III. Add closing stitch to both zipper ends. Cut thread. 18s</t>
  </si>
  <si>
    <t>I. Sew on the side panels. 120s</t>
  </si>
  <si>
    <t>II. Add ZigZag to the top of the hanging big pocket. 14s</t>
  </si>
  <si>
    <t>﻿﻿﻿Clean and inspect inside. 30s</t>
  </si>
  <si>
    <t>Turn right side out. 50s</t>
  </si>
  <si>
    <t>A. Sew the USA flag onto the fabric panel. 7s</t>
  </si>
  <si>
    <t>VI. Cut threads turn pocket right side out 25s</t>
  </si>
  <si>
    <t>I. Sew the zipper onto the 2 fabric panels. 100s</t>
  </si>
  <si>
    <t>IV.  Turn Right Side out</t>
  </si>
  <si>
    <t>V. Sew the center stitch. Had to fold material to find center (NOT MARKED) 20s</t>
  </si>
  <si>
    <t>VI. Add straight single-stitching to the top of the pocket. 15s</t>
  </si>
  <si>
    <t>VII. Stitch the connector strap to the large pocket. 9s</t>
  </si>
  <si>
    <t>Thursday - 1/15/20225</t>
  </si>
  <si>
    <t>Friday - 1/16/20225</t>
  </si>
  <si>
    <t>Saturday - 1/17/20225</t>
  </si>
  <si>
    <t>Monday - 1/19/20225</t>
  </si>
  <si>
    <t>Tuesday - 1/20/20225</t>
  </si>
  <si>
    <t>IV. Sew together Big Hanging Pocket and Connector Strap and Zipper panels. 60s</t>
  </si>
  <si>
    <t>Step 1 must be complete prior to step 2</t>
  </si>
  <si>
    <t>Must Complete by</t>
  </si>
  <si>
    <t>TOTAL (without CUTTING &amp; SILKSCREEN)</t>
  </si>
  <si>
    <t>Total Days to complete Job</t>
  </si>
  <si>
    <t>Number of Hours required per person</t>
  </si>
  <si>
    <t>Total Hours/Day/Person</t>
  </si>
  <si>
    <t>Total Overtime per day</t>
  </si>
  <si>
    <t>Dependent on Completetion of E</t>
  </si>
  <si>
    <t>Dependent on complettion of D</t>
  </si>
  <si>
    <t>Dependent on complettion of A, B &amp; C</t>
  </si>
  <si>
    <t>Dependent on complettion of 3</t>
  </si>
  <si>
    <t>Dependent on complettion of 1, 2</t>
  </si>
  <si>
    <t>Start Time</t>
  </si>
  <si>
    <t>Finish Time</t>
  </si>
  <si>
    <t>A - Sewing</t>
  </si>
  <si>
    <t>B - Sewing</t>
  </si>
  <si>
    <t>Hours Required</t>
  </si>
  <si>
    <t>C - Sewing</t>
  </si>
  <si>
    <t>D &amp; E - Sewing</t>
  </si>
  <si>
    <t>C &amp; A - Sewing</t>
  </si>
  <si>
    <t>F &amp; G - Other</t>
  </si>
  <si>
    <t>A, B, C, D &amp; E - Sewing</t>
  </si>
  <si>
    <t>Non sewing team member - Work done in parallel with prior step</t>
  </si>
  <si>
    <t>F, G &amp; H - Other</t>
  </si>
  <si>
    <t>X - Sewing</t>
  </si>
  <si>
    <t>B, C &amp; A - Sewing</t>
  </si>
  <si>
    <t>A, C, D &amp; E - Sewing</t>
  </si>
  <si>
    <t>Whole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</si>
</sst>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_);[Red]\(#,##0.0\)"/>
    <numFmt numFmtId="170" formatCode="0.0"/>
    <numFmt numFmtId="172" formatCode="[$-409]h:mm\ AM/PM;@"/>
    <numFmt numFmtId="173" formatCode="#,##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Spinnaker"/>
    </font>
    <font>
      <b/>
      <sz val="12"/>
      <color theme="1"/>
      <name val="Spinnaker"/>
    </font>
    <font>
      <u/>
      <sz val="12"/>
      <color theme="1"/>
      <name val="Spinnaker"/>
    </font>
    <font>
      <b/>
      <sz val="14"/>
      <color theme="1"/>
      <name val="Spinnake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38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/>
    <xf numFmtId="0" fontId="1" fillId="2" borderId="0" xfId="0" applyFont="1" applyFill="1"/>
    <xf numFmtId="14" fontId="1" fillId="2" borderId="0" xfId="0" applyNumberFormat="1" applyFont="1" applyFill="1"/>
    <xf numFmtId="38" fontId="1" fillId="2" borderId="0" xfId="0" applyNumberFormat="1" applyFont="1" applyFill="1"/>
    <xf numFmtId="38" fontId="1" fillId="0" borderId="0" xfId="0" applyNumberFormat="1" applyFont="1"/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170" fontId="2" fillId="0" borderId="2" xfId="0" applyNumberFormat="1" applyFont="1" applyBorder="1" applyAlignment="1">
      <alignment horizontal="center"/>
    </xf>
    <xf numFmtId="38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38" fontId="1" fillId="3" borderId="0" xfId="0" applyNumberFormat="1" applyFont="1" applyFill="1" applyAlignment="1">
      <alignment horizontal="center"/>
    </xf>
    <xf numFmtId="38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/>
    <xf numFmtId="38" fontId="3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4" fillId="0" borderId="12" xfId="0" applyFont="1" applyBorder="1" applyAlignment="1">
      <alignment horizontal="left"/>
    </xf>
    <xf numFmtId="38" fontId="4" fillId="0" borderId="13" xfId="0" applyNumberFormat="1" applyFont="1" applyBorder="1" applyAlignment="1">
      <alignment horizontal="center"/>
    </xf>
    <xf numFmtId="38" fontId="4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38" fontId="4" fillId="0" borderId="16" xfId="0" applyNumberFormat="1" applyFont="1" applyBorder="1" applyAlignment="1">
      <alignment horizontal="center"/>
    </xf>
    <xf numFmtId="0" fontId="1" fillId="0" borderId="16" xfId="0" applyFont="1" applyBorder="1"/>
    <xf numFmtId="38" fontId="4" fillId="0" borderId="17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38" fontId="4" fillId="0" borderId="0" xfId="0" applyNumberFormat="1" applyFont="1" applyBorder="1" applyAlignment="1">
      <alignment horizontal="center"/>
    </xf>
    <xf numFmtId="3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Border="1" applyAlignment="1">
      <alignment horizontal="left"/>
    </xf>
    <xf numFmtId="170" fontId="1" fillId="0" borderId="0" xfId="0" applyNumberFormat="1" applyFont="1" applyAlignment="1">
      <alignment horizontal="center"/>
    </xf>
    <xf numFmtId="172" fontId="1" fillId="0" borderId="0" xfId="0" applyNumberFormat="1" applyFont="1"/>
    <xf numFmtId="173" fontId="0" fillId="0" borderId="0" xfId="0" applyNumberFormat="1"/>
    <xf numFmtId="172" fontId="0" fillId="0" borderId="0" xfId="0" applyNumberFormat="1"/>
    <xf numFmtId="0" fontId="0" fillId="4" borderId="0" xfId="0" applyFill="1"/>
    <xf numFmtId="170" fontId="0" fillId="0" borderId="10" xfId="0" applyNumberFormat="1" applyBorder="1"/>
    <xf numFmtId="172" fontId="0" fillId="0" borderId="10" xfId="0" applyNumberFormat="1" applyBorder="1"/>
    <xf numFmtId="172" fontId="0" fillId="0" borderId="0" xfId="0" applyNumberFormat="1" applyFill="1"/>
    <xf numFmtId="173" fontId="0" fillId="0" borderId="10" xfId="0" applyNumberFormat="1" applyBorder="1"/>
    <xf numFmtId="38" fontId="0" fillId="0" borderId="10" xfId="0" applyNumberForma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A4D2-3C57-3A49-B919-686DEE74CC7C}">
  <dimension ref="A1:K65"/>
  <sheetViews>
    <sheetView topLeftCell="A14" workbookViewId="0">
      <selection activeCell="G32" activeCellId="2" sqref="G20 G24 G32"/>
    </sheetView>
  </sheetViews>
  <sheetFormatPr baseColWidth="10" defaultColWidth="11" defaultRowHeight="16" x14ac:dyDescent="0.2"/>
  <cols>
    <col min="1" max="1" width="38.6640625" style="10" bestFit="1" customWidth="1"/>
    <col min="2" max="2" width="81.83203125" style="10" bestFit="1" customWidth="1"/>
    <col min="3" max="3" width="11.5" style="10" customWidth="1"/>
    <col min="4" max="4" width="12" style="10" customWidth="1"/>
    <col min="5" max="5" width="12.83203125" style="10" bestFit="1" customWidth="1"/>
    <col min="6" max="7" width="11.1640625" style="10" bestFit="1" customWidth="1"/>
    <col min="8" max="16384" width="11" style="10"/>
  </cols>
  <sheetData>
    <row r="1" spans="1:11" x14ac:dyDescent="0.2">
      <c r="B1" s="11" t="s">
        <v>63</v>
      </c>
      <c r="C1" s="12">
        <v>46035</v>
      </c>
    </row>
    <row r="2" spans="1:11" x14ac:dyDescent="0.2">
      <c r="B2" s="11" t="s">
        <v>19</v>
      </c>
      <c r="C2" s="13">
        <v>400</v>
      </c>
    </row>
    <row r="3" spans="1:11" x14ac:dyDescent="0.2">
      <c r="C3" s="14"/>
    </row>
    <row r="4" spans="1:11" ht="52" thickBot="1" x14ac:dyDescent="0.25">
      <c r="C4" s="15" t="s">
        <v>18</v>
      </c>
      <c r="D4" s="15" t="s">
        <v>28</v>
      </c>
      <c r="E4" s="15" t="s">
        <v>20</v>
      </c>
      <c r="F4" s="15" t="s">
        <v>21</v>
      </c>
      <c r="G4" s="15" t="s">
        <v>22</v>
      </c>
    </row>
    <row r="5" spans="1:11" s="16" customFormat="1" ht="17" thickBot="1" x14ac:dyDescent="0.25">
      <c r="B5" s="17" t="s">
        <v>0</v>
      </c>
      <c r="C5" s="18">
        <f>SUM(C6:C10)</f>
        <v>97</v>
      </c>
      <c r="D5" s="19">
        <f>60*60/C5</f>
        <v>37.113402061855673</v>
      </c>
      <c r="E5" s="20">
        <f>SUM(E6:E10)</f>
        <v>38800</v>
      </c>
      <c r="F5" s="20">
        <f>SUM(F6:F10)</f>
        <v>646.66666666666674</v>
      </c>
      <c r="G5" s="21">
        <f>SUM(G6:G10)</f>
        <v>10.777777777777777</v>
      </c>
    </row>
    <row r="6" spans="1:11" x14ac:dyDescent="0.2">
      <c r="B6" s="10" t="s">
        <v>1</v>
      </c>
    </row>
    <row r="7" spans="1:11" x14ac:dyDescent="0.2">
      <c r="B7" s="22" t="s">
        <v>2</v>
      </c>
      <c r="C7" s="23">
        <f>18*5</f>
        <v>90</v>
      </c>
      <c r="D7" s="24">
        <f>60*60/C7</f>
        <v>40</v>
      </c>
      <c r="E7" s="24">
        <f>C7*$C$2</f>
        <v>36000</v>
      </c>
      <c r="F7" s="24">
        <f>E7/60</f>
        <v>600</v>
      </c>
      <c r="G7" s="25">
        <f>F7/60</f>
        <v>10</v>
      </c>
    </row>
    <row r="8" spans="1:11" x14ac:dyDescent="0.2">
      <c r="B8" s="10" t="s">
        <v>3</v>
      </c>
      <c r="C8" s="24"/>
    </row>
    <row r="9" spans="1:11" x14ac:dyDescent="0.2">
      <c r="B9" s="22" t="s">
        <v>4</v>
      </c>
      <c r="C9" s="24">
        <v>2</v>
      </c>
      <c r="D9" s="24">
        <f>60*60/C9</f>
        <v>1800</v>
      </c>
      <c r="E9" s="24">
        <f>C9*$C$2</f>
        <v>800</v>
      </c>
      <c r="F9" s="24">
        <f>E9/60</f>
        <v>13.333333333333334</v>
      </c>
      <c r="G9" s="25">
        <f>F9/60</f>
        <v>0.22222222222222224</v>
      </c>
    </row>
    <row r="10" spans="1:11" x14ac:dyDescent="0.2">
      <c r="B10" s="22" t="s">
        <v>5</v>
      </c>
      <c r="C10" s="24">
        <v>5</v>
      </c>
      <c r="D10" s="24">
        <f>60*60/C10</f>
        <v>720</v>
      </c>
      <c r="E10" s="24">
        <f>C10*$C$2</f>
        <v>2000</v>
      </c>
      <c r="F10" s="24">
        <f>E10/60</f>
        <v>33.333333333333336</v>
      </c>
      <c r="G10" s="25">
        <f>F10/60</f>
        <v>0.55555555555555558</v>
      </c>
    </row>
    <row r="11" spans="1:11" ht="17" thickBot="1" x14ac:dyDescent="0.25">
      <c r="C11" s="24"/>
    </row>
    <row r="12" spans="1:11" ht="17" thickBot="1" x14ac:dyDescent="0.25">
      <c r="A12" s="10" t="s">
        <v>62</v>
      </c>
      <c r="B12" s="17" t="s">
        <v>6</v>
      </c>
      <c r="C12" s="20">
        <f>SUM(C13)</f>
        <v>0</v>
      </c>
      <c r="D12" s="19" t="e">
        <f>SUM(D13)</f>
        <v>#DIV/0!</v>
      </c>
      <c r="E12" s="20">
        <f t="shared" ref="E12:G12" si="0">SUM(E13)</f>
        <v>0</v>
      </c>
      <c r="F12" s="20">
        <f t="shared" si="0"/>
        <v>0</v>
      </c>
      <c r="G12" s="21">
        <f t="shared" si="0"/>
        <v>0</v>
      </c>
    </row>
    <row r="13" spans="1:11" x14ac:dyDescent="0.2">
      <c r="B13" s="10" t="s">
        <v>7</v>
      </c>
      <c r="C13" s="24">
        <v>0</v>
      </c>
      <c r="D13" s="24" t="e">
        <f>60*60/C13</f>
        <v>#DIV/0!</v>
      </c>
      <c r="E13" s="24">
        <f>C13*$C$2</f>
        <v>0</v>
      </c>
      <c r="F13" s="24">
        <f>E13/60</f>
        <v>0</v>
      </c>
      <c r="G13" s="25">
        <f>F13/60</f>
        <v>0</v>
      </c>
    </row>
    <row r="14" spans="1:11" ht="17" thickBot="1" x14ac:dyDescent="0.25">
      <c r="C14" s="24"/>
    </row>
    <row r="15" spans="1:11" ht="17" thickBot="1" x14ac:dyDescent="0.25">
      <c r="B15" s="17" t="s">
        <v>8</v>
      </c>
      <c r="C15" s="20">
        <f>SUM(C16)</f>
        <v>7</v>
      </c>
      <c r="D15" s="19">
        <f t="shared" ref="D15:G15" si="1">SUM(D16)</f>
        <v>514.28571428571433</v>
      </c>
      <c r="E15" s="20">
        <f t="shared" si="1"/>
        <v>2800</v>
      </c>
      <c r="F15" s="20">
        <f t="shared" si="1"/>
        <v>46.666666666666664</v>
      </c>
      <c r="G15" s="21">
        <f t="shared" si="1"/>
        <v>0.77777777777777779</v>
      </c>
    </row>
    <row r="16" spans="1:11" x14ac:dyDescent="0.2">
      <c r="B16" s="10" t="s">
        <v>49</v>
      </c>
      <c r="C16" s="24">
        <v>7</v>
      </c>
      <c r="D16" s="24">
        <f>60*60/C16</f>
        <v>514.28571428571433</v>
      </c>
      <c r="E16" s="24">
        <f>C16*$C$2</f>
        <v>2800</v>
      </c>
      <c r="F16" s="24">
        <f>E16/60</f>
        <v>46.666666666666664</v>
      </c>
      <c r="G16" s="25">
        <f>F16/60</f>
        <v>0.77777777777777779</v>
      </c>
      <c r="J16" s="42"/>
      <c r="K16" s="42"/>
    </row>
    <row r="17" spans="1:7" ht="17" thickBot="1" x14ac:dyDescent="0.25">
      <c r="C17" s="24"/>
    </row>
    <row r="18" spans="1:7" ht="17" thickBot="1" x14ac:dyDescent="0.25">
      <c r="A18" s="10" t="s">
        <v>73</v>
      </c>
      <c r="B18" s="17" t="s">
        <v>9</v>
      </c>
      <c r="C18" s="20">
        <f>C20+C24+C32+C41+C47</f>
        <v>654</v>
      </c>
      <c r="D18" s="19">
        <f t="shared" ref="D18:G18" si="2">D20+D24+D32+D41+D47</f>
        <v>3686.1932773109247</v>
      </c>
      <c r="E18" s="20">
        <f t="shared" si="2"/>
        <v>261600</v>
      </c>
      <c r="F18" s="20">
        <f t="shared" si="2"/>
        <v>4360</v>
      </c>
      <c r="G18" s="21">
        <f t="shared" si="2"/>
        <v>72.666666666666657</v>
      </c>
    </row>
    <row r="19" spans="1:7" x14ac:dyDescent="0.2">
      <c r="C19" s="24"/>
    </row>
    <row r="20" spans="1:7" x14ac:dyDescent="0.2">
      <c r="B20" s="26" t="s">
        <v>10</v>
      </c>
      <c r="C20" s="27">
        <f>SUM(C21:C22)</f>
        <v>45</v>
      </c>
      <c r="D20" s="27">
        <f t="shared" ref="D20:G20" si="3">SUM(D21:D22)</f>
        <v>324</v>
      </c>
      <c r="E20" s="27">
        <f t="shared" si="3"/>
        <v>18000</v>
      </c>
      <c r="F20" s="27">
        <f t="shared" si="3"/>
        <v>300</v>
      </c>
      <c r="G20" s="27">
        <f t="shared" si="3"/>
        <v>5</v>
      </c>
    </row>
    <row r="21" spans="1:7" x14ac:dyDescent="0.2">
      <c r="B21" s="22" t="s">
        <v>11</v>
      </c>
      <c r="C21" s="24">
        <v>20</v>
      </c>
      <c r="D21" s="24">
        <f>60*60/C21</f>
        <v>180</v>
      </c>
      <c r="E21" s="24">
        <f>C21*$C$2</f>
        <v>8000</v>
      </c>
      <c r="F21" s="24">
        <f>E21/60</f>
        <v>133.33333333333334</v>
      </c>
      <c r="G21" s="25">
        <f>F21/60</f>
        <v>2.2222222222222223</v>
      </c>
    </row>
    <row r="22" spans="1:7" x14ac:dyDescent="0.2">
      <c r="B22" s="22" t="s">
        <v>35</v>
      </c>
      <c r="C22" s="24">
        <v>25</v>
      </c>
      <c r="D22" s="24">
        <f>60*60/C22</f>
        <v>144</v>
      </c>
      <c r="E22" s="24">
        <f>C22*$C$2</f>
        <v>10000</v>
      </c>
      <c r="F22" s="24">
        <f>E22/60</f>
        <v>166.66666666666666</v>
      </c>
      <c r="G22" s="25">
        <f>F22/60</f>
        <v>2.7777777777777777</v>
      </c>
    </row>
    <row r="23" spans="1:7" x14ac:dyDescent="0.2">
      <c r="B23" s="22"/>
      <c r="C23" s="24"/>
    </row>
    <row r="24" spans="1:7" x14ac:dyDescent="0.2">
      <c r="B24" s="26" t="s">
        <v>12</v>
      </c>
      <c r="C24" s="27">
        <f>SUM(C25:C30)</f>
        <v>140</v>
      </c>
      <c r="D24" s="27">
        <f t="shared" ref="D24:G24" si="4">SUM(D25:D30)</f>
        <v>1059.4285714285716</v>
      </c>
      <c r="E24" s="27">
        <f t="shared" si="4"/>
        <v>56000</v>
      </c>
      <c r="F24" s="27">
        <f t="shared" si="4"/>
        <v>933.33333333333326</v>
      </c>
      <c r="G24" s="27">
        <f t="shared" si="4"/>
        <v>15.555555555555554</v>
      </c>
    </row>
    <row r="25" spans="1:7" x14ac:dyDescent="0.2">
      <c r="B25" s="22" t="s">
        <v>34</v>
      </c>
      <c r="C25" s="24">
        <v>12</v>
      </c>
      <c r="D25" s="24">
        <f t="shared" ref="D25:D30" si="5">60*60/C25</f>
        <v>300</v>
      </c>
      <c r="E25" s="24">
        <f t="shared" ref="E25:E30" si="6">C25*$C$2</f>
        <v>4800</v>
      </c>
      <c r="F25" s="24">
        <f t="shared" ref="F25:G25" si="7">E25/60</f>
        <v>80</v>
      </c>
      <c r="G25" s="25">
        <f t="shared" si="7"/>
        <v>1.3333333333333333</v>
      </c>
    </row>
    <row r="26" spans="1:7" x14ac:dyDescent="0.2">
      <c r="B26" s="22" t="s">
        <v>36</v>
      </c>
      <c r="C26" s="24">
        <v>28</v>
      </c>
      <c r="D26" s="24">
        <f t="shared" si="5"/>
        <v>128.57142857142858</v>
      </c>
      <c r="E26" s="24">
        <f t="shared" si="6"/>
        <v>11200</v>
      </c>
      <c r="F26" s="24">
        <f t="shared" ref="F26:G26" si="8">E26/60</f>
        <v>186.66666666666666</v>
      </c>
      <c r="G26" s="25">
        <f t="shared" si="8"/>
        <v>3.1111111111111112</v>
      </c>
    </row>
    <row r="27" spans="1:7" x14ac:dyDescent="0.2">
      <c r="B27" s="22" t="s">
        <v>37</v>
      </c>
      <c r="C27" s="24">
        <v>25</v>
      </c>
      <c r="D27" s="24">
        <f t="shared" si="5"/>
        <v>144</v>
      </c>
      <c r="E27" s="24">
        <f t="shared" si="6"/>
        <v>10000</v>
      </c>
      <c r="F27" s="24">
        <f t="shared" ref="F27:G27" si="9">E27/60</f>
        <v>166.66666666666666</v>
      </c>
      <c r="G27" s="25">
        <f t="shared" si="9"/>
        <v>2.7777777777777777</v>
      </c>
    </row>
    <row r="28" spans="1:7" x14ac:dyDescent="0.2">
      <c r="B28" s="22" t="s">
        <v>38</v>
      </c>
      <c r="C28" s="24">
        <v>35</v>
      </c>
      <c r="D28" s="24">
        <f t="shared" si="5"/>
        <v>102.85714285714286</v>
      </c>
      <c r="E28" s="24">
        <f t="shared" si="6"/>
        <v>14000</v>
      </c>
      <c r="F28" s="24">
        <f t="shared" ref="F28:G28" si="10">E28/60</f>
        <v>233.33333333333334</v>
      </c>
      <c r="G28" s="25">
        <f t="shared" si="10"/>
        <v>3.8888888888888888</v>
      </c>
    </row>
    <row r="29" spans="1:7" x14ac:dyDescent="0.2">
      <c r="B29" s="22" t="s">
        <v>39</v>
      </c>
      <c r="C29" s="24">
        <v>15</v>
      </c>
      <c r="D29" s="24">
        <f t="shared" si="5"/>
        <v>240</v>
      </c>
      <c r="E29" s="24">
        <f t="shared" si="6"/>
        <v>6000</v>
      </c>
      <c r="F29" s="24">
        <f t="shared" ref="F29:G29" si="11">E29/60</f>
        <v>100</v>
      </c>
      <c r="G29" s="25">
        <f t="shared" si="11"/>
        <v>1.6666666666666667</v>
      </c>
    </row>
    <row r="30" spans="1:7" x14ac:dyDescent="0.2">
      <c r="B30" s="28" t="s">
        <v>50</v>
      </c>
      <c r="C30" s="24">
        <v>25</v>
      </c>
      <c r="D30" s="24">
        <f t="shared" si="5"/>
        <v>144</v>
      </c>
      <c r="E30" s="24">
        <f t="shared" si="6"/>
        <v>10000</v>
      </c>
      <c r="F30" s="24">
        <f t="shared" ref="F30:G30" si="12">E30/60</f>
        <v>166.66666666666666</v>
      </c>
      <c r="G30" s="25">
        <f t="shared" si="12"/>
        <v>2.7777777777777777</v>
      </c>
    </row>
    <row r="31" spans="1:7" x14ac:dyDescent="0.2">
      <c r="B31" s="22"/>
      <c r="C31" s="24"/>
    </row>
    <row r="32" spans="1:7" x14ac:dyDescent="0.2">
      <c r="A32" s="10" t="s">
        <v>72</v>
      </c>
      <c r="B32" s="26" t="s">
        <v>13</v>
      </c>
      <c r="C32" s="27">
        <f>SUM(C33:C39)</f>
        <v>127</v>
      </c>
      <c r="D32" s="27">
        <f t="shared" ref="D32:G32" si="13">SUM(D33:D39)</f>
        <v>1599.6218487394958</v>
      </c>
      <c r="E32" s="27">
        <f t="shared" si="13"/>
        <v>50800</v>
      </c>
      <c r="F32" s="27">
        <f>SUM(F33:F39)</f>
        <v>846.66666666666674</v>
      </c>
      <c r="G32" s="27">
        <f t="shared" si="13"/>
        <v>14.111111111111112</v>
      </c>
    </row>
    <row r="33" spans="1:7" x14ac:dyDescent="0.2">
      <c r="B33" s="22" t="s">
        <v>40</v>
      </c>
      <c r="C33" s="24">
        <v>17</v>
      </c>
      <c r="D33" s="24">
        <f>60*60/C33</f>
        <v>211.76470588235293</v>
      </c>
      <c r="E33" s="24">
        <f>C33*$C$2</f>
        <v>6800</v>
      </c>
      <c r="F33" s="24">
        <f>E33/60</f>
        <v>113.33333333333333</v>
      </c>
      <c r="G33" s="25">
        <f>F33/60</f>
        <v>1.8888888888888888</v>
      </c>
    </row>
    <row r="34" spans="1:7" x14ac:dyDescent="0.2">
      <c r="B34" s="22" t="s">
        <v>41</v>
      </c>
      <c r="C34" s="24">
        <v>35</v>
      </c>
      <c r="D34" s="24">
        <f t="shared" ref="D34:D39" si="14">60*60/C34</f>
        <v>102.85714285714286</v>
      </c>
      <c r="E34" s="24">
        <f t="shared" ref="E34:E39" si="15">C34*$C$2</f>
        <v>14000</v>
      </c>
      <c r="F34" s="24">
        <f t="shared" ref="F34:G34" si="16">E34/60</f>
        <v>233.33333333333334</v>
      </c>
      <c r="G34" s="25">
        <f t="shared" si="16"/>
        <v>3.8888888888888888</v>
      </c>
    </row>
    <row r="35" spans="1:7" x14ac:dyDescent="0.2">
      <c r="B35" s="22" t="s">
        <v>42</v>
      </c>
      <c r="C35" s="24">
        <v>15</v>
      </c>
      <c r="D35" s="24">
        <f t="shared" si="14"/>
        <v>240</v>
      </c>
      <c r="E35" s="24">
        <f t="shared" si="15"/>
        <v>6000</v>
      </c>
      <c r="F35" s="24">
        <f t="shared" ref="F35:G35" si="17">E35/60</f>
        <v>100</v>
      </c>
      <c r="G35" s="25">
        <f t="shared" si="17"/>
        <v>1.6666666666666667</v>
      </c>
    </row>
    <row r="36" spans="1:7" x14ac:dyDescent="0.2">
      <c r="B36" s="22" t="s">
        <v>52</v>
      </c>
      <c r="C36" s="24">
        <v>16</v>
      </c>
      <c r="D36" s="24">
        <f t="shared" si="14"/>
        <v>225</v>
      </c>
      <c r="E36" s="24">
        <f t="shared" si="15"/>
        <v>6400</v>
      </c>
      <c r="F36" s="24">
        <f t="shared" ref="F36:G36" si="18">E36/60</f>
        <v>106.66666666666667</v>
      </c>
      <c r="G36" s="25">
        <f t="shared" si="18"/>
        <v>1.7777777777777779</v>
      </c>
    </row>
    <row r="37" spans="1:7" x14ac:dyDescent="0.2">
      <c r="B37" s="22" t="s">
        <v>53</v>
      </c>
      <c r="C37" s="24">
        <v>20</v>
      </c>
      <c r="D37" s="24">
        <f t="shared" si="14"/>
        <v>180</v>
      </c>
      <c r="E37" s="24">
        <f t="shared" si="15"/>
        <v>8000</v>
      </c>
      <c r="F37" s="24">
        <f t="shared" ref="F37:G37" si="19">E37/60</f>
        <v>133.33333333333334</v>
      </c>
      <c r="G37" s="25">
        <f t="shared" si="19"/>
        <v>2.2222222222222223</v>
      </c>
    </row>
    <row r="38" spans="1:7" x14ac:dyDescent="0.2">
      <c r="B38" s="22" t="s">
        <v>54</v>
      </c>
      <c r="C38" s="24">
        <v>15</v>
      </c>
      <c r="D38" s="24">
        <f t="shared" si="14"/>
        <v>240</v>
      </c>
      <c r="E38" s="24">
        <f t="shared" si="15"/>
        <v>6000</v>
      </c>
      <c r="F38" s="24">
        <f t="shared" ref="F38:G38" si="20">E38/60</f>
        <v>100</v>
      </c>
      <c r="G38" s="25">
        <f t="shared" si="20"/>
        <v>1.6666666666666667</v>
      </c>
    </row>
    <row r="39" spans="1:7" x14ac:dyDescent="0.2">
      <c r="B39" s="22" t="s">
        <v>55</v>
      </c>
      <c r="C39" s="24">
        <v>9</v>
      </c>
      <c r="D39" s="24">
        <f t="shared" si="14"/>
        <v>400</v>
      </c>
      <c r="E39" s="24">
        <f t="shared" si="15"/>
        <v>3600</v>
      </c>
      <c r="F39" s="24">
        <f t="shared" ref="F39:G39" si="21">E39/60</f>
        <v>60</v>
      </c>
      <c r="G39" s="25">
        <f t="shared" si="21"/>
        <v>1</v>
      </c>
    </row>
    <row r="40" spans="1:7" x14ac:dyDescent="0.2">
      <c r="C40" s="24"/>
    </row>
    <row r="41" spans="1:7" x14ac:dyDescent="0.2">
      <c r="A41" s="10" t="s">
        <v>71</v>
      </c>
      <c r="B41" s="26" t="s">
        <v>14</v>
      </c>
      <c r="C41" s="27">
        <f>SUM(C42:C45)</f>
        <v>208</v>
      </c>
      <c r="D41" s="27">
        <f>SUM(D42:D45)</f>
        <v>416</v>
      </c>
      <c r="E41" s="27">
        <f t="shared" ref="E41:G41" si="22">SUM(E42:E45)</f>
        <v>83200</v>
      </c>
      <c r="F41" s="27">
        <f t="shared" si="22"/>
        <v>1386.6666666666665</v>
      </c>
      <c r="G41" s="27">
        <f t="shared" si="22"/>
        <v>23.111111111111111</v>
      </c>
    </row>
    <row r="42" spans="1:7" x14ac:dyDescent="0.2">
      <c r="B42" s="22" t="s">
        <v>51</v>
      </c>
      <c r="C42" s="24">
        <v>100</v>
      </c>
      <c r="D42" s="24">
        <f t="shared" ref="D42:D45" si="23">60*60/C42</f>
        <v>36</v>
      </c>
      <c r="E42" s="24">
        <f t="shared" ref="E42:E45" si="24">C42*$C$2</f>
        <v>40000</v>
      </c>
      <c r="F42" s="24">
        <f t="shared" ref="F42:G42" si="25">E42/60</f>
        <v>666.66666666666663</v>
      </c>
      <c r="G42" s="25">
        <f t="shared" si="25"/>
        <v>11.111111111111111</v>
      </c>
    </row>
    <row r="43" spans="1:7" x14ac:dyDescent="0.2">
      <c r="B43" s="28" t="s">
        <v>43</v>
      </c>
      <c r="C43" s="24">
        <v>30</v>
      </c>
      <c r="D43" s="24">
        <f t="shared" si="23"/>
        <v>120</v>
      </c>
      <c r="E43" s="24">
        <f t="shared" si="24"/>
        <v>12000</v>
      </c>
      <c r="F43" s="24">
        <f t="shared" ref="F43:G43" si="26">E43/60</f>
        <v>200</v>
      </c>
      <c r="G43" s="25">
        <f t="shared" si="26"/>
        <v>3.3333333333333335</v>
      </c>
    </row>
    <row r="44" spans="1:7" x14ac:dyDescent="0.2">
      <c r="B44" s="22" t="s">
        <v>44</v>
      </c>
      <c r="C44" s="24">
        <v>18</v>
      </c>
      <c r="D44" s="24">
        <f t="shared" si="23"/>
        <v>200</v>
      </c>
      <c r="E44" s="24">
        <f t="shared" si="24"/>
        <v>7200</v>
      </c>
      <c r="F44" s="24">
        <f t="shared" ref="F44:G44" si="27">E44/60</f>
        <v>120</v>
      </c>
      <c r="G44" s="25">
        <f t="shared" si="27"/>
        <v>2</v>
      </c>
    </row>
    <row r="45" spans="1:7" x14ac:dyDescent="0.2">
      <c r="B45" s="22" t="s">
        <v>61</v>
      </c>
      <c r="C45" s="24">
        <v>60</v>
      </c>
      <c r="D45" s="24">
        <f t="shared" si="23"/>
        <v>60</v>
      </c>
      <c r="E45" s="24">
        <f t="shared" si="24"/>
        <v>24000</v>
      </c>
      <c r="F45" s="24">
        <f t="shared" ref="F45:G45" si="28">E45/60</f>
        <v>400</v>
      </c>
      <c r="G45" s="25">
        <f t="shared" si="28"/>
        <v>6.666666666666667</v>
      </c>
    </row>
    <row r="46" spans="1:7" x14ac:dyDescent="0.2">
      <c r="B46" s="22"/>
      <c r="C46" s="24"/>
    </row>
    <row r="47" spans="1:7" x14ac:dyDescent="0.2">
      <c r="A47" s="10" t="s">
        <v>70</v>
      </c>
      <c r="B47" s="26" t="s">
        <v>15</v>
      </c>
      <c r="C47" s="27">
        <f>SUM(C48:C49)</f>
        <v>134</v>
      </c>
      <c r="D47" s="27">
        <f>SUM(D48:D49)</f>
        <v>287.14285714285717</v>
      </c>
      <c r="E47" s="27">
        <f t="shared" ref="E47:G47" si="29">SUM(E48:E49)</f>
        <v>53600</v>
      </c>
      <c r="F47" s="27">
        <f t="shared" si="29"/>
        <v>893.33333333333337</v>
      </c>
      <c r="G47" s="27">
        <f t="shared" si="29"/>
        <v>14.888888888888889</v>
      </c>
    </row>
    <row r="48" spans="1:7" x14ac:dyDescent="0.2">
      <c r="B48" s="22" t="s">
        <v>45</v>
      </c>
      <c r="C48" s="27">
        <v>120</v>
      </c>
      <c r="D48" s="24">
        <f>60*60/C48</f>
        <v>30</v>
      </c>
      <c r="E48" s="24">
        <f>C48*$C$2</f>
        <v>48000</v>
      </c>
      <c r="F48" s="24">
        <f>E48/60</f>
        <v>800</v>
      </c>
      <c r="G48" s="25">
        <f>F48/60</f>
        <v>13.333333333333334</v>
      </c>
    </row>
    <row r="49" spans="1:7" x14ac:dyDescent="0.2">
      <c r="B49" s="22" t="s">
        <v>46</v>
      </c>
      <c r="C49" s="24">
        <v>14</v>
      </c>
      <c r="D49" s="24">
        <f>60*60/C49</f>
        <v>257.14285714285717</v>
      </c>
      <c r="E49" s="24">
        <f>C49*$C$2</f>
        <v>5600</v>
      </c>
      <c r="F49" s="24">
        <f>E49/60</f>
        <v>93.333333333333329</v>
      </c>
      <c r="G49" s="25">
        <f>F49/60</f>
        <v>1.5555555555555556</v>
      </c>
    </row>
    <row r="50" spans="1:7" ht="17" thickBot="1" x14ac:dyDescent="0.25">
      <c r="C50" s="24"/>
    </row>
    <row r="51" spans="1:7" ht="17" thickBot="1" x14ac:dyDescent="0.25">
      <c r="A51" s="10" t="s">
        <v>69</v>
      </c>
      <c r="B51" s="17" t="s">
        <v>23</v>
      </c>
      <c r="C51" s="20">
        <f>SUM(C52:C55)</f>
        <v>170</v>
      </c>
      <c r="D51" s="19">
        <f t="shared" ref="D51:G51" si="30">SUM(D52:D55)</f>
        <v>372</v>
      </c>
      <c r="E51" s="20">
        <f t="shared" si="30"/>
        <v>68000</v>
      </c>
      <c r="F51" s="20">
        <f t="shared" si="30"/>
        <v>1133.3333333333333</v>
      </c>
      <c r="G51" s="21">
        <f t="shared" si="30"/>
        <v>18.888888888888889</v>
      </c>
    </row>
    <row r="52" spans="1:7" x14ac:dyDescent="0.2">
      <c r="B52" s="22" t="s">
        <v>47</v>
      </c>
      <c r="C52" s="24">
        <v>30</v>
      </c>
      <c r="D52" s="24">
        <f>60*60/C52</f>
        <v>120</v>
      </c>
      <c r="E52" s="24">
        <f>C52*$C$2</f>
        <v>12000</v>
      </c>
      <c r="F52" s="24">
        <f>E52/60</f>
        <v>200</v>
      </c>
      <c r="G52" s="25">
        <f>F52/60</f>
        <v>3.3333333333333335</v>
      </c>
    </row>
    <row r="53" spans="1:7" x14ac:dyDescent="0.2">
      <c r="B53" s="22" t="s">
        <v>48</v>
      </c>
      <c r="C53" s="24">
        <v>50</v>
      </c>
      <c r="D53" s="24">
        <f>60*60/C53</f>
        <v>72</v>
      </c>
      <c r="E53" s="24">
        <f>C53*$C$2</f>
        <v>20000</v>
      </c>
      <c r="F53" s="24">
        <f>E53/60</f>
        <v>333.33333333333331</v>
      </c>
      <c r="G53" s="25">
        <f>F53/60</f>
        <v>5.5555555555555554</v>
      </c>
    </row>
    <row r="54" spans="1:7" x14ac:dyDescent="0.2">
      <c r="B54" s="22" t="s">
        <v>16</v>
      </c>
      <c r="C54" s="24">
        <v>30</v>
      </c>
      <c r="D54" s="24">
        <f>60*60/C54</f>
        <v>120</v>
      </c>
      <c r="E54" s="24">
        <f>C54*$C$2</f>
        <v>12000</v>
      </c>
      <c r="F54" s="24">
        <f>E54/60</f>
        <v>200</v>
      </c>
      <c r="G54" s="25">
        <f>F54/60</f>
        <v>3.3333333333333335</v>
      </c>
    </row>
    <row r="55" spans="1:7" x14ac:dyDescent="0.2">
      <c r="B55" s="22" t="s">
        <v>17</v>
      </c>
      <c r="C55" s="24">
        <v>60</v>
      </c>
      <c r="D55" s="24">
        <f>60*60/C55</f>
        <v>60</v>
      </c>
      <c r="E55" s="24">
        <f>C55*$C$2</f>
        <v>24000</v>
      </c>
      <c r="F55" s="24">
        <f>E55/60</f>
        <v>400</v>
      </c>
      <c r="G55" s="25">
        <f>F55/60</f>
        <v>6.666666666666667</v>
      </c>
    </row>
    <row r="56" spans="1:7" x14ac:dyDescent="0.2">
      <c r="C56" s="24"/>
    </row>
    <row r="57" spans="1:7" ht="17" thickBot="1" x14ac:dyDescent="0.25">
      <c r="C57" s="24"/>
    </row>
    <row r="58" spans="1:7" ht="19" thickTop="1" x14ac:dyDescent="0.2">
      <c r="B58" s="29" t="s">
        <v>24</v>
      </c>
      <c r="C58" s="30">
        <f>C51+C18+C15+C12+C5</f>
        <v>928</v>
      </c>
      <c r="D58" s="30"/>
      <c r="E58" s="30">
        <f t="shared" ref="E58:G58" si="31">E51+E18+E15+E12+E5</f>
        <v>371200</v>
      </c>
      <c r="F58" s="30">
        <f t="shared" si="31"/>
        <v>6186.666666666667</v>
      </c>
      <c r="G58" s="31">
        <f t="shared" si="31"/>
        <v>103.11111111111109</v>
      </c>
    </row>
    <row r="59" spans="1:7" ht="19" thickBot="1" x14ac:dyDescent="0.25">
      <c r="B59" s="32" t="s">
        <v>64</v>
      </c>
      <c r="C59" s="33">
        <f>C51+C18+C15</f>
        <v>831</v>
      </c>
      <c r="D59" s="34"/>
      <c r="E59" s="33">
        <f>E51+E18+E15</f>
        <v>332400</v>
      </c>
      <c r="F59" s="33">
        <f>F51+F18+F15</f>
        <v>5540</v>
      </c>
      <c r="G59" s="35">
        <f>G51+G18+G15</f>
        <v>92.333333333333314</v>
      </c>
    </row>
    <row r="60" spans="1:7" ht="19" thickTop="1" x14ac:dyDescent="0.2">
      <c r="B60" s="36"/>
      <c r="C60" s="37"/>
      <c r="E60" s="37"/>
      <c r="F60" s="37"/>
      <c r="G60" s="37"/>
    </row>
    <row r="61" spans="1:7" x14ac:dyDescent="0.2">
      <c r="B61" s="11" t="s">
        <v>65</v>
      </c>
      <c r="C61" s="38">
        <v>2</v>
      </c>
    </row>
    <row r="62" spans="1:7" x14ac:dyDescent="0.2">
      <c r="B62" s="11" t="s">
        <v>25</v>
      </c>
      <c r="C62" s="39">
        <v>5</v>
      </c>
    </row>
    <row r="63" spans="1:7" x14ac:dyDescent="0.2">
      <c r="B63" s="40" t="s">
        <v>66</v>
      </c>
      <c r="C63" s="41">
        <f>G59/5</f>
        <v>18.466666666666661</v>
      </c>
    </row>
    <row r="64" spans="1:7" x14ac:dyDescent="0.2">
      <c r="B64" s="10" t="s">
        <v>67</v>
      </c>
      <c r="C64" s="41">
        <f>C63/C61</f>
        <v>9.2333333333333307</v>
      </c>
    </row>
    <row r="65" spans="2:3" x14ac:dyDescent="0.2">
      <c r="B65" s="10" t="s">
        <v>68</v>
      </c>
      <c r="C65" s="41">
        <f>IF(C64-7&lt;0,0,C64-7)</f>
        <v>2.2333333333333307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EA2E-1A23-EC49-B12C-6E6C2CF5CA8C}">
  <dimension ref="B1:BA61"/>
  <sheetViews>
    <sheetView tabSelected="1" zoomScale="120" zoomScaleNormal="120" workbookViewId="0">
      <pane xSplit="3" ySplit="2" topLeftCell="D26" activePane="bottomRight" state="frozen"/>
      <selection pane="topRight" activeCell="D1" sqref="D1"/>
      <selection pane="bottomLeft" activeCell="A3" sqref="A3"/>
      <selection pane="bottomRight" activeCell="B60" sqref="B60"/>
    </sheetView>
  </sheetViews>
  <sheetFormatPr baseColWidth="10" defaultColWidth="11" defaultRowHeight="16" x14ac:dyDescent="0.2"/>
  <cols>
    <col min="1" max="1" width="3.5" customWidth="1"/>
    <col min="2" max="2" width="65.5" bestFit="1" customWidth="1"/>
    <col min="3" max="3" width="2.33203125" customWidth="1"/>
    <col min="4" max="4" width="12.33203125" bestFit="1" customWidth="1"/>
    <col min="5" max="5" width="13.6640625" bestFit="1" customWidth="1"/>
  </cols>
  <sheetData>
    <row r="1" spans="2:53" x14ac:dyDescent="0.2">
      <c r="D1" s="7" t="s">
        <v>31</v>
      </c>
      <c r="E1" s="8"/>
      <c r="F1" s="8"/>
      <c r="G1" s="8"/>
      <c r="H1" s="8"/>
      <c r="I1" s="8"/>
      <c r="J1" s="9"/>
      <c r="K1" s="7" t="s">
        <v>32</v>
      </c>
      <c r="L1" s="8"/>
      <c r="M1" s="8"/>
      <c r="N1" s="8"/>
      <c r="O1" s="8"/>
      <c r="P1" s="8"/>
      <c r="Q1" s="9"/>
      <c r="R1" s="7" t="s">
        <v>33</v>
      </c>
      <c r="S1" s="8"/>
      <c r="T1" s="8"/>
      <c r="U1" s="8"/>
      <c r="V1" s="8"/>
      <c r="W1" s="8"/>
      <c r="X1" s="9"/>
      <c r="Y1" s="7" t="s">
        <v>56</v>
      </c>
      <c r="Z1" s="8"/>
      <c r="AA1" s="8"/>
      <c r="AB1" s="8"/>
      <c r="AC1" s="8"/>
      <c r="AD1" s="8"/>
      <c r="AE1" s="9"/>
      <c r="AF1" s="7" t="s">
        <v>57</v>
      </c>
      <c r="AG1" s="8"/>
      <c r="AH1" s="8"/>
      <c r="AI1" s="8"/>
      <c r="AJ1" s="8"/>
      <c r="AK1" s="8"/>
      <c r="AL1" s="9"/>
      <c r="AM1" s="7" t="s">
        <v>58</v>
      </c>
      <c r="AN1" s="8"/>
      <c r="AO1" s="8"/>
      <c r="AP1" s="8"/>
      <c r="AQ1" s="8"/>
      <c r="AR1" s="8"/>
      <c r="AS1" s="9"/>
      <c r="AT1" s="7" t="s">
        <v>59</v>
      </c>
      <c r="AU1" s="8"/>
      <c r="AV1" s="8"/>
      <c r="AW1" s="9"/>
      <c r="AX1" s="7" t="s">
        <v>60</v>
      </c>
      <c r="AY1" s="8"/>
      <c r="AZ1" s="8"/>
      <c r="BA1" s="9"/>
    </row>
    <row r="2" spans="2:53" x14ac:dyDescent="0.2">
      <c r="D2" s="2" t="s">
        <v>26</v>
      </c>
      <c r="E2" t="s">
        <v>78</v>
      </c>
      <c r="F2" t="s">
        <v>27</v>
      </c>
      <c r="G2" t="s">
        <v>74</v>
      </c>
      <c r="H2" t="s">
        <v>75</v>
      </c>
      <c r="I2" t="s">
        <v>29</v>
      </c>
      <c r="J2" s="3" t="s">
        <v>30</v>
      </c>
      <c r="K2" s="2" t="s">
        <v>26</v>
      </c>
      <c r="L2" t="s">
        <v>78</v>
      </c>
      <c r="M2" t="s">
        <v>27</v>
      </c>
      <c r="N2" t="s">
        <v>74</v>
      </c>
      <c r="O2" t="s">
        <v>75</v>
      </c>
      <c r="P2" t="s">
        <v>29</v>
      </c>
      <c r="Q2" s="3" t="s">
        <v>30</v>
      </c>
      <c r="R2" s="2" t="s">
        <v>26</v>
      </c>
      <c r="S2" t="s">
        <v>78</v>
      </c>
      <c r="T2" t="s">
        <v>27</v>
      </c>
      <c r="U2" t="s">
        <v>74</v>
      </c>
      <c r="V2" t="s">
        <v>75</v>
      </c>
      <c r="W2" t="s">
        <v>29</v>
      </c>
      <c r="X2" s="3" t="s">
        <v>30</v>
      </c>
      <c r="Y2" s="2" t="s">
        <v>26</v>
      </c>
      <c r="Z2" t="s">
        <v>78</v>
      </c>
      <c r="AA2" t="s">
        <v>27</v>
      </c>
      <c r="AB2" t="s">
        <v>74</v>
      </c>
      <c r="AC2" t="s">
        <v>75</v>
      </c>
      <c r="AD2" t="s">
        <v>29</v>
      </c>
      <c r="AE2" s="3" t="s">
        <v>30</v>
      </c>
      <c r="AF2" s="2" t="s">
        <v>26</v>
      </c>
      <c r="AG2" t="s">
        <v>78</v>
      </c>
      <c r="AH2" t="s">
        <v>27</v>
      </c>
      <c r="AI2" t="s">
        <v>74</v>
      </c>
      <c r="AJ2" t="s">
        <v>75</v>
      </c>
      <c r="AK2" t="s">
        <v>29</v>
      </c>
      <c r="AL2" s="3" t="s">
        <v>30</v>
      </c>
      <c r="AM2" s="2" t="s">
        <v>26</v>
      </c>
      <c r="AN2" t="s">
        <v>78</v>
      </c>
      <c r="AO2" t="s">
        <v>27</v>
      </c>
      <c r="AP2" t="s">
        <v>74</v>
      </c>
      <c r="AQ2" t="s">
        <v>75</v>
      </c>
      <c r="AR2" t="s">
        <v>29</v>
      </c>
      <c r="AS2" s="3" t="s">
        <v>30</v>
      </c>
      <c r="AT2" s="2" t="s">
        <v>26</v>
      </c>
      <c r="AU2" t="s">
        <v>27</v>
      </c>
      <c r="AV2" t="s">
        <v>29</v>
      </c>
      <c r="AW2" s="3" t="s">
        <v>30</v>
      </c>
      <c r="AX2" s="2" t="s">
        <v>26</v>
      </c>
      <c r="AY2" t="s">
        <v>27</v>
      </c>
      <c r="AZ2" t="s">
        <v>29</v>
      </c>
      <c r="BA2" s="3" t="s">
        <v>30</v>
      </c>
    </row>
    <row r="3" spans="2:53" x14ac:dyDescent="0.2">
      <c r="B3" t="s">
        <v>0</v>
      </c>
      <c r="D3" s="2"/>
      <c r="J3" s="3"/>
      <c r="K3" s="2"/>
      <c r="Q3" s="3"/>
      <c r="R3" s="2"/>
      <c r="X3" s="3"/>
      <c r="Y3" s="2"/>
      <c r="AE3" s="3"/>
      <c r="AF3" s="2"/>
      <c r="AL3" s="3"/>
      <c r="AM3" s="2"/>
      <c r="AS3" s="3"/>
      <c r="AT3" s="2"/>
      <c r="AW3" s="3"/>
      <c r="AX3" s="2"/>
      <c r="BA3" s="3"/>
    </row>
    <row r="4" spans="2:53" x14ac:dyDescent="0.2">
      <c r="B4" t="s">
        <v>1</v>
      </c>
      <c r="D4" s="2"/>
      <c r="J4" s="3"/>
      <c r="K4" s="2"/>
      <c r="Q4" s="3"/>
      <c r="R4" s="2"/>
      <c r="X4" s="3"/>
      <c r="Y4" s="2"/>
      <c r="AE4" s="3"/>
      <c r="AF4" s="2"/>
      <c r="AL4" s="3"/>
      <c r="AM4" s="2"/>
      <c r="AS4" s="3"/>
      <c r="AT4" s="2"/>
      <c r="AW4" s="3"/>
      <c r="AX4" s="2"/>
      <c r="BA4" s="3"/>
    </row>
    <row r="5" spans="2:53" x14ac:dyDescent="0.2">
      <c r="B5" t="s">
        <v>2</v>
      </c>
      <c r="D5" s="2"/>
      <c r="J5" s="3"/>
      <c r="K5" s="2"/>
      <c r="Q5" s="3"/>
      <c r="R5" s="2"/>
      <c r="X5" s="3"/>
      <c r="Y5" s="2"/>
      <c r="AE5" s="3"/>
      <c r="AF5" s="2"/>
      <c r="AL5" s="3"/>
      <c r="AM5" s="2"/>
      <c r="AS5" s="3"/>
      <c r="AT5" s="2"/>
      <c r="AW5" s="3"/>
      <c r="AX5" s="2"/>
      <c r="BA5" s="3"/>
    </row>
    <row r="6" spans="2:53" x14ac:dyDescent="0.2">
      <c r="B6" t="s">
        <v>3</v>
      </c>
      <c r="D6" s="2"/>
      <c r="J6" s="3"/>
      <c r="K6" s="2"/>
      <c r="Q6" s="3"/>
      <c r="R6" s="2"/>
      <c r="X6" s="3"/>
      <c r="Y6" s="2"/>
      <c r="AE6" s="3"/>
      <c r="AF6" s="2"/>
      <c r="AL6" s="3"/>
      <c r="AM6" s="2"/>
      <c r="AS6" s="3"/>
      <c r="AT6" s="2"/>
      <c r="AW6" s="3"/>
      <c r="AX6" s="2"/>
      <c r="BA6" s="3"/>
    </row>
    <row r="7" spans="2:53" x14ac:dyDescent="0.2">
      <c r="B7" t="s">
        <v>4</v>
      </c>
      <c r="D7" s="2"/>
      <c r="J7" s="3"/>
      <c r="K7" s="2"/>
      <c r="Q7" s="3"/>
      <c r="R7" s="2"/>
      <c r="X7" s="3"/>
      <c r="Y7" s="2"/>
      <c r="AE7" s="3"/>
      <c r="AF7" s="2"/>
      <c r="AL7" s="3"/>
      <c r="AM7" s="2"/>
      <c r="AS7" s="3"/>
      <c r="AT7" s="2"/>
      <c r="AW7" s="3"/>
      <c r="AX7" s="2"/>
      <c r="BA7" s="3"/>
    </row>
    <row r="8" spans="2:53" x14ac:dyDescent="0.2">
      <c r="B8" t="s">
        <v>5</v>
      </c>
      <c r="D8" s="2"/>
      <c r="J8" s="3"/>
      <c r="K8" s="2"/>
      <c r="Q8" s="3"/>
      <c r="R8" s="2"/>
      <c r="X8" s="3"/>
      <c r="Y8" s="2"/>
      <c r="AE8" s="3"/>
      <c r="AF8" s="2"/>
      <c r="AL8" s="3"/>
      <c r="AM8" s="2"/>
      <c r="AS8" s="3"/>
      <c r="AT8" s="2"/>
      <c r="AW8" s="3"/>
      <c r="AX8" s="2"/>
      <c r="BA8" s="3"/>
    </row>
    <row r="9" spans="2:53" x14ac:dyDescent="0.2">
      <c r="D9" s="2"/>
      <c r="J9" s="3"/>
      <c r="K9" s="2"/>
      <c r="Q9" s="3"/>
      <c r="R9" s="2"/>
      <c r="X9" s="3"/>
      <c r="Y9" s="2"/>
      <c r="AE9" s="3"/>
      <c r="AF9" s="2"/>
      <c r="AL9" s="3"/>
      <c r="AM9" s="2"/>
      <c r="AS9" s="3"/>
      <c r="AT9" s="2"/>
      <c r="AW9" s="3"/>
      <c r="AX9" s="2"/>
      <c r="BA9" s="3"/>
    </row>
    <row r="10" spans="2:53" x14ac:dyDescent="0.2">
      <c r="B10" t="s">
        <v>6</v>
      </c>
      <c r="D10" s="2"/>
      <c r="J10" s="3"/>
      <c r="K10" s="2"/>
      <c r="Q10" s="3"/>
      <c r="R10" s="2"/>
      <c r="X10" s="3"/>
      <c r="Y10" s="2"/>
      <c r="AE10" s="3"/>
      <c r="AF10" s="2"/>
      <c r="AL10" s="3"/>
      <c r="AM10" s="2"/>
      <c r="AS10" s="3"/>
      <c r="AT10" s="2"/>
      <c r="AW10" s="3"/>
      <c r="AX10" s="2"/>
      <c r="BA10" s="3"/>
    </row>
    <row r="11" spans="2:53" x14ac:dyDescent="0.2">
      <c r="B11" t="s">
        <v>7</v>
      </c>
      <c r="D11" s="2"/>
      <c r="J11" s="3"/>
      <c r="K11" s="2"/>
      <c r="Q11" s="3"/>
      <c r="R11" s="2"/>
      <c r="X11" s="3"/>
      <c r="Y11" s="2"/>
      <c r="AE11" s="3"/>
      <c r="AF11" s="2"/>
      <c r="AL11" s="3"/>
      <c r="AM11" s="2"/>
      <c r="AS11" s="3"/>
      <c r="AT11" s="2"/>
      <c r="AW11" s="3"/>
      <c r="AX11" s="2"/>
      <c r="BA11" s="3"/>
    </row>
    <row r="12" spans="2:53" x14ac:dyDescent="0.2">
      <c r="D12" s="2"/>
      <c r="J12" s="3"/>
      <c r="K12" s="2"/>
      <c r="Q12" s="3"/>
      <c r="R12" s="2"/>
      <c r="X12" s="3"/>
      <c r="Y12" s="2"/>
      <c r="AE12" s="3"/>
      <c r="AF12" s="2"/>
      <c r="AL12" s="3"/>
      <c r="AM12" s="2"/>
      <c r="AS12" s="3"/>
      <c r="AT12" s="2"/>
      <c r="AW12" s="3"/>
      <c r="AX12" s="2"/>
      <c r="BA12" s="3"/>
    </row>
    <row r="13" spans="2:53" x14ac:dyDescent="0.2">
      <c r="B13" t="s">
        <v>8</v>
      </c>
      <c r="D13" s="2"/>
      <c r="J13" s="3"/>
      <c r="K13" s="2"/>
      <c r="Q13" s="3"/>
      <c r="R13" s="2"/>
      <c r="X13" s="3"/>
      <c r="Y13" s="2"/>
      <c r="AE13" s="3"/>
      <c r="AF13" s="2"/>
      <c r="AL13" s="3"/>
      <c r="AM13" s="2"/>
      <c r="AS13" s="3"/>
      <c r="AT13" s="2"/>
      <c r="AW13" s="3"/>
      <c r="AX13" s="2"/>
      <c r="BA13" s="3"/>
    </row>
    <row r="14" spans="2:53" x14ac:dyDescent="0.2">
      <c r="B14" t="s">
        <v>49</v>
      </c>
      <c r="D14" s="2" t="s">
        <v>76</v>
      </c>
      <c r="E14" s="43">
        <f>'Work Steps Updated'!$G16</f>
        <v>0.77777777777777779</v>
      </c>
      <c r="F14" s="43">
        <v>1</v>
      </c>
      <c r="G14" s="44">
        <v>0.41666666666666669</v>
      </c>
      <c r="H14" s="44">
        <f>G14+(E14/F14)/24</f>
        <v>0.44907407407407407</v>
      </c>
      <c r="I14" s="1"/>
      <c r="J14" s="3"/>
      <c r="K14" s="2" t="s">
        <v>86</v>
      </c>
      <c r="L14" s="43">
        <f>'Work Steps Updated'!$G16</f>
        <v>0.77777777777777779</v>
      </c>
      <c r="M14" s="43">
        <v>1</v>
      </c>
      <c r="N14" s="44">
        <v>0.41666666666666669</v>
      </c>
      <c r="O14" s="44">
        <f>N14+(L14/M14)/24</f>
        <v>0.44907407407407407</v>
      </c>
      <c r="P14" s="1"/>
      <c r="Q14" s="3"/>
      <c r="R14" s="2"/>
      <c r="X14" s="3"/>
      <c r="Y14" s="2"/>
      <c r="AE14" s="3"/>
      <c r="AF14" s="2"/>
      <c r="AL14" s="3"/>
      <c r="AM14" s="2"/>
      <c r="AS14" s="3"/>
      <c r="AT14" s="2"/>
      <c r="AW14" s="3"/>
      <c r="AX14" s="2"/>
      <c r="BA14" s="3"/>
    </row>
    <row r="15" spans="2:53" x14ac:dyDescent="0.2">
      <c r="D15" s="2"/>
      <c r="J15" s="3"/>
      <c r="K15" s="2"/>
      <c r="Q15" s="3"/>
      <c r="R15" s="2"/>
      <c r="X15" s="3"/>
      <c r="Y15" s="2"/>
      <c r="AE15" s="3"/>
      <c r="AF15" s="2"/>
      <c r="AL15" s="3"/>
      <c r="AM15" s="2"/>
      <c r="AS15" s="3"/>
      <c r="AT15" s="2"/>
      <c r="AW15" s="3"/>
      <c r="AX15" s="2"/>
      <c r="BA15" s="3"/>
    </row>
    <row r="16" spans="2:53" x14ac:dyDescent="0.2">
      <c r="B16" t="s">
        <v>9</v>
      </c>
      <c r="D16" s="2"/>
      <c r="J16" s="3"/>
      <c r="K16" s="2"/>
      <c r="Q16" s="3"/>
      <c r="R16" s="2"/>
      <c r="X16" s="3"/>
      <c r="Y16" s="2"/>
      <c r="AE16" s="3"/>
      <c r="AF16" s="2"/>
      <c r="AL16" s="3"/>
      <c r="AM16" s="2"/>
      <c r="AS16" s="3"/>
      <c r="AT16" s="2"/>
      <c r="AW16" s="3"/>
      <c r="AX16" s="2"/>
      <c r="BA16" s="3"/>
    </row>
    <row r="17" spans="2:53" x14ac:dyDescent="0.2">
      <c r="D17" s="2"/>
      <c r="J17" s="3"/>
      <c r="K17" s="2"/>
      <c r="Q17" s="3"/>
      <c r="R17" s="2"/>
      <c r="X17" s="3"/>
      <c r="Y17" s="2"/>
      <c r="AE17" s="3"/>
      <c r="AF17" s="2"/>
      <c r="AL17" s="3"/>
      <c r="AM17" s="2"/>
      <c r="AS17" s="3"/>
      <c r="AT17" s="2"/>
      <c r="AW17" s="3"/>
      <c r="AX17" s="2"/>
      <c r="BA17" s="3"/>
    </row>
    <row r="18" spans="2:53" x14ac:dyDescent="0.2">
      <c r="B18" t="s">
        <v>10</v>
      </c>
      <c r="D18" s="2"/>
      <c r="J18" s="3"/>
      <c r="K18" s="2"/>
      <c r="Q18" s="3"/>
      <c r="R18" s="2"/>
      <c r="X18" s="3"/>
      <c r="Y18" s="2"/>
      <c r="AE18" s="3"/>
      <c r="AF18" s="2"/>
      <c r="AL18" s="3"/>
      <c r="AM18" s="2"/>
      <c r="AS18" s="3"/>
      <c r="AT18" s="2"/>
      <c r="AW18" s="3"/>
      <c r="AX18" s="2"/>
      <c r="BA18" s="3"/>
    </row>
    <row r="19" spans="2:53" x14ac:dyDescent="0.2">
      <c r="B19" t="s">
        <v>11</v>
      </c>
      <c r="D19" s="2" t="s">
        <v>77</v>
      </c>
      <c r="E19" s="43">
        <f>'Work Steps Updated'!$G21</f>
        <v>2.2222222222222223</v>
      </c>
      <c r="F19" s="43">
        <v>1</v>
      </c>
      <c r="G19" s="44">
        <v>0.41666666666666669</v>
      </c>
      <c r="H19" s="44">
        <f>G19+(E19/F19)/24+0.5/24</f>
        <v>0.53009259259259267</v>
      </c>
      <c r="I19" s="1"/>
      <c r="J19" s="3"/>
      <c r="K19" s="2"/>
      <c r="Q19" s="3"/>
      <c r="R19" s="2" t="s">
        <v>77</v>
      </c>
      <c r="S19" s="43">
        <f>'Work Steps Updated'!$G21</f>
        <v>2.2222222222222223</v>
      </c>
      <c r="T19" s="43">
        <v>1</v>
      </c>
      <c r="U19" s="44">
        <v>0.29166666666666669</v>
      </c>
      <c r="V19" s="44">
        <f>U19+(S19/T19)/24+0.5/24</f>
        <v>0.40509259259259262</v>
      </c>
      <c r="W19" s="1"/>
      <c r="X19" s="3"/>
      <c r="Y19" s="2"/>
      <c r="AE19" s="3"/>
      <c r="AF19" s="2"/>
      <c r="AL19" s="3"/>
      <c r="AM19" s="2"/>
      <c r="AS19" s="3"/>
      <c r="AT19" s="2"/>
      <c r="AW19" s="3"/>
      <c r="AX19" s="2"/>
      <c r="BA19" s="3"/>
    </row>
    <row r="20" spans="2:53" x14ac:dyDescent="0.2">
      <c r="B20" t="s">
        <v>35</v>
      </c>
      <c r="D20" s="2" t="s">
        <v>77</v>
      </c>
      <c r="E20" s="43">
        <f>'Work Steps Updated'!$G22</f>
        <v>2.7777777777777777</v>
      </c>
      <c r="F20" s="43">
        <v>1</v>
      </c>
      <c r="G20" s="44">
        <f>H19+((5/60)/24)</f>
        <v>0.53356481481481488</v>
      </c>
      <c r="H20" s="48">
        <f>G20+(E20/F20)/24</f>
        <v>0.64930555555555558</v>
      </c>
      <c r="I20" s="1"/>
      <c r="J20" s="3"/>
      <c r="K20" s="2"/>
      <c r="Q20" s="3"/>
      <c r="R20" s="2" t="s">
        <v>77</v>
      </c>
      <c r="S20" s="43">
        <f>'Work Steps Updated'!$G22</f>
        <v>2.7777777777777777</v>
      </c>
      <c r="T20" s="43">
        <v>1</v>
      </c>
      <c r="U20" s="44">
        <f>V19+((5/60)/24)</f>
        <v>0.40856481481481483</v>
      </c>
      <c r="V20" s="48">
        <f>U20+(S20/T20)/24+0.5/24</f>
        <v>0.54513888888888895</v>
      </c>
      <c r="W20" s="1"/>
      <c r="X20" s="3"/>
      <c r="Y20" s="2"/>
      <c r="AE20" s="3"/>
      <c r="AF20" s="2"/>
      <c r="AL20" s="3"/>
      <c r="AM20" s="2"/>
      <c r="AS20" s="3"/>
      <c r="AT20" s="2"/>
      <c r="AW20" s="3"/>
      <c r="AX20" s="2"/>
      <c r="BA20" s="3"/>
    </row>
    <row r="21" spans="2:53" x14ac:dyDescent="0.2">
      <c r="D21" s="2"/>
      <c r="J21" s="3"/>
      <c r="K21" s="2"/>
      <c r="Q21" s="3"/>
      <c r="R21" s="2"/>
      <c r="X21" s="3"/>
      <c r="Y21" s="2"/>
      <c r="AE21" s="3"/>
      <c r="AF21" s="2"/>
      <c r="AL21" s="3"/>
      <c r="AM21" s="2"/>
      <c r="AS21" s="3"/>
      <c r="AT21" s="2"/>
      <c r="AW21" s="3"/>
      <c r="AX21" s="2"/>
      <c r="BA21" s="3"/>
    </row>
    <row r="22" spans="2:53" x14ac:dyDescent="0.2">
      <c r="B22" t="s">
        <v>12</v>
      </c>
      <c r="D22" s="2"/>
      <c r="J22" s="3"/>
      <c r="K22" s="2"/>
      <c r="Q22" s="3"/>
      <c r="R22" s="2"/>
      <c r="X22" s="3"/>
      <c r="Y22" s="2"/>
      <c r="AE22" s="3"/>
      <c r="AF22" s="2"/>
      <c r="AL22" s="3"/>
      <c r="AM22" s="2"/>
      <c r="AS22" s="3"/>
      <c r="AT22" s="2"/>
      <c r="AW22" s="3"/>
      <c r="AX22" s="2"/>
      <c r="BA22" s="3"/>
    </row>
    <row r="23" spans="2:53" x14ac:dyDescent="0.2">
      <c r="B23" t="s">
        <v>34</v>
      </c>
      <c r="D23" s="2" t="s">
        <v>79</v>
      </c>
      <c r="E23" s="43">
        <f>'Work Steps Updated'!$G25</f>
        <v>1.3333333333333333</v>
      </c>
      <c r="F23" s="43">
        <v>1</v>
      </c>
      <c r="G23" s="44">
        <v>0.41666666666666669</v>
      </c>
      <c r="H23" s="44">
        <f>G23+(E23/F23)/24+0.5/24</f>
        <v>0.49305555555555552</v>
      </c>
      <c r="I23" s="1"/>
      <c r="J23" s="3"/>
      <c r="K23" s="2"/>
      <c r="Q23" s="3"/>
      <c r="R23" s="2" t="s">
        <v>79</v>
      </c>
      <c r="S23" s="43">
        <f>'Work Steps Updated'!$G25</f>
        <v>1.3333333333333333</v>
      </c>
      <c r="T23" s="43">
        <v>1</v>
      </c>
      <c r="U23" s="44">
        <v>0.29166666666666669</v>
      </c>
      <c r="V23" s="44">
        <f>U23+(S23/T23)/24</f>
        <v>0.34722222222222221</v>
      </c>
      <c r="W23" s="1"/>
      <c r="X23" s="3"/>
      <c r="Y23" s="2"/>
      <c r="AE23" s="3"/>
      <c r="AF23" s="2"/>
      <c r="AL23" s="3"/>
      <c r="AM23" s="2"/>
      <c r="AS23" s="3"/>
      <c r="AT23" s="2"/>
      <c r="AW23" s="3"/>
      <c r="AX23" s="2"/>
      <c r="BA23" s="3"/>
    </row>
    <row r="24" spans="2:53" x14ac:dyDescent="0.2">
      <c r="B24" s="45" t="s">
        <v>36</v>
      </c>
      <c r="D24" s="2" t="s">
        <v>82</v>
      </c>
      <c r="E24" s="43">
        <f>'Work Steps Updated'!$G26</f>
        <v>3.1111111111111112</v>
      </c>
      <c r="F24" s="43">
        <v>2</v>
      </c>
      <c r="G24" s="44">
        <f>G23</f>
        <v>0.41666666666666669</v>
      </c>
      <c r="H24" s="44">
        <f>G24+(E24/F24)/24+0.5/24</f>
        <v>0.50231481481481488</v>
      </c>
      <c r="I24" s="1"/>
      <c r="J24" s="3"/>
      <c r="K24" s="2"/>
      <c r="Q24" s="3"/>
      <c r="R24" s="2" t="s">
        <v>82</v>
      </c>
      <c r="S24" s="43">
        <f>'Work Steps Updated'!$G26</f>
        <v>3.1111111111111112</v>
      </c>
      <c r="T24" s="43">
        <v>2</v>
      </c>
      <c r="U24" s="44">
        <f>U23</f>
        <v>0.29166666666666669</v>
      </c>
      <c r="V24" s="44">
        <f>U24+(S24/T24)/24</f>
        <v>0.35648148148148151</v>
      </c>
      <c r="W24" s="1"/>
      <c r="X24" s="3"/>
      <c r="Y24" s="2"/>
      <c r="AE24" s="3"/>
      <c r="AF24" s="2"/>
      <c r="AL24" s="3"/>
      <c r="AM24" s="2"/>
      <c r="AS24" s="3"/>
      <c r="AT24" s="2"/>
      <c r="AW24" s="3"/>
      <c r="AX24" s="2"/>
      <c r="BA24" s="3"/>
    </row>
    <row r="25" spans="2:53" x14ac:dyDescent="0.2">
      <c r="B25" t="s">
        <v>37</v>
      </c>
      <c r="D25" s="2" t="s">
        <v>81</v>
      </c>
      <c r="E25" s="43">
        <f>'Work Steps Updated'!$G27</f>
        <v>2.7777777777777777</v>
      </c>
      <c r="F25" s="43">
        <v>2</v>
      </c>
      <c r="G25" s="44">
        <f>H23+((5/60)/24)</f>
        <v>0.49652777777777773</v>
      </c>
      <c r="H25" s="44">
        <f>G25+(E25/F25)/24</f>
        <v>0.55439814814814814</v>
      </c>
      <c r="I25" s="1"/>
      <c r="J25" s="3"/>
      <c r="K25" s="2"/>
      <c r="Q25" s="3"/>
      <c r="R25" s="2" t="s">
        <v>81</v>
      </c>
      <c r="S25" s="43">
        <f>'Work Steps Updated'!$G27</f>
        <v>2.7777777777777777</v>
      </c>
      <c r="T25" s="43">
        <v>2</v>
      </c>
      <c r="U25" s="44">
        <f>V23+((5/60)/24)</f>
        <v>0.35069444444444442</v>
      </c>
      <c r="V25" s="44">
        <f>U25+(S25/T25)/24</f>
        <v>0.40856481481481477</v>
      </c>
      <c r="W25" s="1"/>
      <c r="X25" s="3"/>
      <c r="Y25" s="2"/>
      <c r="AE25" s="3"/>
      <c r="AF25" s="2"/>
      <c r="AL25" s="3"/>
      <c r="AM25" s="2"/>
      <c r="AS25" s="3"/>
      <c r="AT25" s="2"/>
      <c r="AW25" s="3"/>
      <c r="AX25" s="2"/>
      <c r="BA25" s="3"/>
    </row>
    <row r="26" spans="2:53" x14ac:dyDescent="0.2">
      <c r="B26" t="s">
        <v>38</v>
      </c>
      <c r="D26" s="2" t="s">
        <v>81</v>
      </c>
      <c r="E26" s="43">
        <f>'Work Steps Updated'!$G28</f>
        <v>3.8888888888888888</v>
      </c>
      <c r="F26" s="43">
        <v>2</v>
      </c>
      <c r="G26" s="44">
        <f>H25+((5/60)/24)</f>
        <v>0.55787037037037035</v>
      </c>
      <c r="H26" s="44">
        <f>G26+(E26/F26)/24</f>
        <v>0.63888888888888884</v>
      </c>
      <c r="I26" s="1"/>
      <c r="J26" s="3"/>
      <c r="K26" s="2"/>
      <c r="Q26" s="3"/>
      <c r="R26" s="2" t="s">
        <v>81</v>
      </c>
      <c r="S26" s="43">
        <f>'Work Steps Updated'!$G28</f>
        <v>3.8888888888888888</v>
      </c>
      <c r="T26" s="43">
        <v>2</v>
      </c>
      <c r="U26" s="44">
        <f>V24+((5/60)/24)</f>
        <v>0.35995370370370372</v>
      </c>
      <c r="V26" s="44">
        <f>U26+(S26/T26)/24</f>
        <v>0.44097222222222221</v>
      </c>
      <c r="W26" s="1"/>
      <c r="X26" s="3"/>
      <c r="Y26" s="2"/>
      <c r="AE26" s="3"/>
      <c r="AF26" s="2"/>
      <c r="AL26" s="3"/>
      <c r="AM26" s="2"/>
      <c r="AS26" s="3"/>
      <c r="AT26" s="2"/>
      <c r="AW26" s="3"/>
      <c r="AX26" s="2"/>
      <c r="BA26" s="3"/>
    </row>
    <row r="27" spans="2:53" x14ac:dyDescent="0.2">
      <c r="B27" t="s">
        <v>39</v>
      </c>
      <c r="D27" s="2" t="s">
        <v>87</v>
      </c>
      <c r="E27" s="43">
        <f>'Work Steps Updated'!$G29</f>
        <v>1.6666666666666667</v>
      </c>
      <c r="F27" s="43">
        <v>3</v>
      </c>
      <c r="G27" s="44">
        <f>H26+((5/60)/24)</f>
        <v>0.64236111111111105</v>
      </c>
      <c r="H27" s="44">
        <f>G27+(E27/F27)/24</f>
        <v>0.66550925925925919</v>
      </c>
      <c r="I27" s="1"/>
      <c r="J27" s="3"/>
      <c r="K27" s="2"/>
      <c r="Q27" s="3"/>
      <c r="R27" s="2" t="s">
        <v>81</v>
      </c>
      <c r="S27" s="43">
        <f>'Work Steps Updated'!$G29</f>
        <v>1.6666666666666667</v>
      </c>
      <c r="T27" s="43">
        <v>2</v>
      </c>
      <c r="U27" s="44">
        <f>V25+((5/60)/24)</f>
        <v>0.41203703703703698</v>
      </c>
      <c r="V27" s="44">
        <f>U27+(S27/T27)/24</f>
        <v>0.44675925925925919</v>
      </c>
      <c r="W27" s="1"/>
      <c r="X27" s="3"/>
      <c r="Y27" s="2"/>
      <c r="AE27" s="3"/>
      <c r="AF27" s="2"/>
      <c r="AL27" s="3"/>
      <c r="AM27" s="2"/>
      <c r="AS27" s="3"/>
      <c r="AT27" s="2"/>
      <c r="AW27" s="3"/>
      <c r="AX27" s="2"/>
      <c r="BA27" s="3"/>
    </row>
    <row r="28" spans="2:53" x14ac:dyDescent="0.2">
      <c r="B28" t="s">
        <v>50</v>
      </c>
      <c r="D28" s="2" t="s">
        <v>87</v>
      </c>
      <c r="E28" s="43">
        <f>'Work Steps Updated'!$G30</f>
        <v>2.7777777777777777</v>
      </c>
      <c r="F28" s="43">
        <v>3</v>
      </c>
      <c r="G28" s="44">
        <f>H27+((5/60)/24)</f>
        <v>0.6689814814814814</v>
      </c>
      <c r="H28" s="44">
        <f>G28+(E28/F28)/24</f>
        <v>0.7075617283950616</v>
      </c>
      <c r="I28" s="1"/>
      <c r="J28" s="3"/>
      <c r="K28" s="2"/>
      <c r="Q28" s="3"/>
      <c r="R28" s="2" t="s">
        <v>81</v>
      </c>
      <c r="S28" s="43">
        <f>'Work Steps Updated'!$G30</f>
        <v>2.7777777777777777</v>
      </c>
      <c r="T28" s="43">
        <v>2</v>
      </c>
      <c r="U28" s="44">
        <f>V26+((5/60)/24)</f>
        <v>0.44444444444444442</v>
      </c>
      <c r="V28" s="44">
        <f>U28+(S28/T28)/24+0.5/24</f>
        <v>0.52314814814814814</v>
      </c>
      <c r="W28" s="1"/>
      <c r="X28" s="3"/>
      <c r="Y28" s="2"/>
      <c r="AE28" s="3"/>
      <c r="AF28" s="2"/>
      <c r="AL28" s="3"/>
      <c r="AM28" s="2"/>
      <c r="AS28" s="3"/>
      <c r="AT28" s="2"/>
      <c r="AW28" s="3"/>
      <c r="AX28" s="2"/>
      <c r="BA28" s="3"/>
    </row>
    <row r="29" spans="2:53" x14ac:dyDescent="0.2">
      <c r="D29" s="2"/>
      <c r="J29" s="3"/>
      <c r="K29" s="2"/>
      <c r="Q29" s="3"/>
      <c r="R29" s="2"/>
      <c r="X29" s="3"/>
      <c r="Y29" s="2"/>
      <c r="AE29" s="3"/>
      <c r="AF29" s="2"/>
      <c r="AL29" s="3"/>
      <c r="AM29" s="2"/>
      <c r="AS29" s="3"/>
      <c r="AT29" s="2"/>
      <c r="AW29" s="3"/>
      <c r="AX29" s="2"/>
      <c r="BA29" s="3"/>
    </row>
    <row r="30" spans="2:53" x14ac:dyDescent="0.2">
      <c r="B30" t="s">
        <v>13</v>
      </c>
      <c r="D30" s="2"/>
      <c r="J30" s="3"/>
      <c r="K30" s="2"/>
      <c r="Q30" s="3"/>
      <c r="R30" s="2"/>
      <c r="X30" s="3"/>
      <c r="Y30" s="2"/>
      <c r="AE30" s="3"/>
      <c r="AF30" s="2"/>
      <c r="AL30" s="3"/>
      <c r="AM30" s="2"/>
      <c r="AS30" s="3"/>
      <c r="AT30" s="2"/>
      <c r="AW30" s="3"/>
      <c r="AX30" s="2"/>
      <c r="BA30" s="3"/>
    </row>
    <row r="31" spans="2:53" x14ac:dyDescent="0.2">
      <c r="B31" t="s">
        <v>40</v>
      </c>
      <c r="D31" s="2" t="s">
        <v>80</v>
      </c>
      <c r="E31" s="43">
        <f>'Work Steps Updated'!$G33</f>
        <v>1.8888888888888888</v>
      </c>
      <c r="F31" s="43">
        <v>2</v>
      </c>
      <c r="G31" s="44">
        <v>0.41666666666666669</v>
      </c>
      <c r="H31" s="44">
        <f>G31+(E31/F31)/24+0.5/24</f>
        <v>0.47685185185185186</v>
      </c>
      <c r="I31" s="1"/>
      <c r="J31" s="3"/>
      <c r="K31" s="2"/>
      <c r="Q31" s="3"/>
      <c r="R31" s="2" t="s">
        <v>80</v>
      </c>
      <c r="S31" s="43">
        <f>'Work Steps Updated'!$G33</f>
        <v>1.8888888888888888</v>
      </c>
      <c r="T31" s="43">
        <v>2</v>
      </c>
      <c r="U31" s="44">
        <v>0.29166666666666669</v>
      </c>
      <c r="V31" s="44">
        <f>U31+(S31/T31)/24+0.5/24</f>
        <v>0.35185185185185186</v>
      </c>
      <c r="W31" s="1"/>
      <c r="X31" s="3"/>
      <c r="Y31" s="2"/>
      <c r="AE31" s="3"/>
      <c r="AF31" s="2"/>
      <c r="AL31" s="3"/>
      <c r="AM31" s="2"/>
      <c r="AS31" s="3"/>
      <c r="AT31" s="2"/>
      <c r="AW31" s="3"/>
      <c r="AX31" s="2"/>
      <c r="BA31" s="3"/>
    </row>
    <row r="32" spans="2:53" x14ac:dyDescent="0.2">
      <c r="B32" t="s">
        <v>41</v>
      </c>
      <c r="D32" s="2" t="s">
        <v>80</v>
      </c>
      <c r="E32" s="43">
        <f>'Work Steps Updated'!$G34</f>
        <v>3.8888888888888888</v>
      </c>
      <c r="F32" s="43">
        <v>2</v>
      </c>
      <c r="G32" s="44">
        <f>H31+((5/60)/24)</f>
        <v>0.48032407407407407</v>
      </c>
      <c r="H32" s="44">
        <f>G32+(E32/F32)/24</f>
        <v>0.56134259259259256</v>
      </c>
      <c r="I32" s="1"/>
      <c r="J32" s="3"/>
      <c r="K32" s="2"/>
      <c r="Q32" s="3"/>
      <c r="R32" s="2" t="s">
        <v>80</v>
      </c>
      <c r="S32" s="43">
        <f>'Work Steps Updated'!$G34</f>
        <v>3.8888888888888888</v>
      </c>
      <c r="T32" s="43">
        <v>2</v>
      </c>
      <c r="U32" s="44">
        <f>V31+((5/60)/24)</f>
        <v>0.35532407407407407</v>
      </c>
      <c r="V32" s="44">
        <f>U32+(S32/T32)/24</f>
        <v>0.43634259259259256</v>
      </c>
      <c r="W32" s="1"/>
      <c r="X32" s="3"/>
      <c r="Y32" s="2"/>
      <c r="AE32" s="3"/>
      <c r="AF32" s="2"/>
      <c r="AL32" s="3"/>
      <c r="AM32" s="2"/>
      <c r="AS32" s="3"/>
      <c r="AT32" s="2"/>
      <c r="AW32" s="3"/>
      <c r="AX32" s="2"/>
      <c r="BA32" s="3"/>
    </row>
    <row r="33" spans="2:53" x14ac:dyDescent="0.2">
      <c r="B33" t="s">
        <v>42</v>
      </c>
      <c r="D33" s="2" t="s">
        <v>80</v>
      </c>
      <c r="E33" s="43">
        <f>'Work Steps Updated'!$G35</f>
        <v>1.6666666666666667</v>
      </c>
      <c r="F33" s="43">
        <v>2</v>
      </c>
      <c r="G33" s="44">
        <f>H32+((5/60)/24)</f>
        <v>0.56481481481481477</v>
      </c>
      <c r="H33" s="44">
        <f>G33+(E33/F33)/24</f>
        <v>0.59953703703703698</v>
      </c>
      <c r="I33" s="1"/>
      <c r="J33" s="3"/>
      <c r="K33" s="2"/>
      <c r="Q33" s="3"/>
      <c r="R33" s="2" t="s">
        <v>80</v>
      </c>
      <c r="S33" s="43">
        <f>'Work Steps Updated'!$G35</f>
        <v>1.6666666666666667</v>
      </c>
      <c r="T33" s="43">
        <v>2</v>
      </c>
      <c r="U33" s="44">
        <f>V32+((5/60)/24)</f>
        <v>0.43981481481481477</v>
      </c>
      <c r="V33" s="44">
        <f>U33+(S33/T33)/24+0.5/24</f>
        <v>0.49537037037037029</v>
      </c>
      <c r="W33" s="1"/>
      <c r="X33" s="3"/>
      <c r="Y33" s="2"/>
      <c r="AE33" s="3"/>
      <c r="AF33" s="2"/>
      <c r="AL33" s="3"/>
      <c r="AM33" s="2"/>
      <c r="AS33" s="3"/>
      <c r="AT33" s="2"/>
      <c r="AW33" s="3"/>
      <c r="AX33" s="2"/>
      <c r="BA33" s="3"/>
    </row>
    <row r="34" spans="2:53" x14ac:dyDescent="0.2">
      <c r="B34" s="45" t="s">
        <v>52</v>
      </c>
      <c r="D34" s="2" t="s">
        <v>82</v>
      </c>
      <c r="E34" s="43">
        <f>'Work Steps Updated'!$G36</f>
        <v>1.7777777777777779</v>
      </c>
      <c r="F34" s="43">
        <v>2</v>
      </c>
      <c r="G34" s="44">
        <f>G33</f>
        <v>0.56481481481481477</v>
      </c>
      <c r="H34" s="44">
        <f>G34+(E34/F34)/24</f>
        <v>0.60185185185185186</v>
      </c>
      <c r="I34" s="1"/>
      <c r="J34" s="3"/>
      <c r="K34" s="2"/>
      <c r="Q34" s="3"/>
      <c r="R34" s="2" t="s">
        <v>82</v>
      </c>
      <c r="S34" s="43">
        <f>'Work Steps Updated'!$G36</f>
        <v>1.7777777777777779</v>
      </c>
      <c r="T34" s="43">
        <v>2</v>
      </c>
      <c r="U34" s="44">
        <f>U33</f>
        <v>0.43981481481481477</v>
      </c>
      <c r="V34" s="44">
        <f>U34+(S34/T34)/24+0.5/24</f>
        <v>0.49768518518518512</v>
      </c>
      <c r="W34" s="1"/>
      <c r="X34" s="3"/>
      <c r="Y34" s="2"/>
      <c r="AE34" s="3"/>
      <c r="AF34" s="2"/>
      <c r="AL34" s="3"/>
      <c r="AM34" s="2"/>
      <c r="AS34" s="3"/>
      <c r="AT34" s="2"/>
      <c r="AW34" s="3"/>
      <c r="AX34" s="2"/>
      <c r="BA34" s="3"/>
    </row>
    <row r="35" spans="2:53" x14ac:dyDescent="0.2">
      <c r="B35" t="s">
        <v>53</v>
      </c>
      <c r="D35" s="2" t="s">
        <v>80</v>
      </c>
      <c r="E35" s="43">
        <f>'Work Steps Updated'!$G37</f>
        <v>2.2222222222222223</v>
      </c>
      <c r="F35" s="43">
        <v>2</v>
      </c>
      <c r="G35" s="44">
        <f>H33+((5/60)/24)</f>
        <v>0.60300925925925919</v>
      </c>
      <c r="H35" s="44">
        <f>G35+(E35/F35)/24</f>
        <v>0.64930555555555547</v>
      </c>
      <c r="I35" s="1"/>
      <c r="J35" s="3"/>
      <c r="K35" s="2"/>
      <c r="L35" s="43"/>
      <c r="M35" s="43"/>
      <c r="N35" s="44"/>
      <c r="O35" s="44"/>
      <c r="P35" s="1"/>
      <c r="Q35" s="3"/>
      <c r="R35" s="2" t="s">
        <v>80</v>
      </c>
      <c r="S35" s="43">
        <f>'Work Steps Updated'!$G37</f>
        <v>2.2222222222222223</v>
      </c>
      <c r="T35" s="43">
        <v>2</v>
      </c>
      <c r="U35" s="44">
        <f>V33+((5/60)/24)</f>
        <v>0.4988425925925925</v>
      </c>
      <c r="V35" s="44">
        <f>U35+(S35/T35)/24</f>
        <v>0.54513888888888884</v>
      </c>
      <c r="W35" s="1"/>
      <c r="X35" s="3"/>
      <c r="Y35" s="2"/>
      <c r="AE35" s="3"/>
      <c r="AF35" s="2"/>
      <c r="AL35" s="3"/>
      <c r="AM35" s="2"/>
      <c r="AS35" s="3"/>
      <c r="AT35" s="2"/>
      <c r="AW35" s="3"/>
      <c r="AX35" s="2"/>
      <c r="BA35" s="3"/>
    </row>
    <row r="36" spans="2:53" x14ac:dyDescent="0.2">
      <c r="B36" t="s">
        <v>54</v>
      </c>
      <c r="D36" s="2" t="s">
        <v>80</v>
      </c>
      <c r="E36" s="43">
        <f>'Work Steps Updated'!$G38</f>
        <v>1.6666666666666667</v>
      </c>
      <c r="F36" s="43">
        <v>2</v>
      </c>
      <c r="G36" s="44">
        <f>H35+((5/60)/24)</f>
        <v>0.65277777777777768</v>
      </c>
      <c r="H36" s="44">
        <f>G36+(E36/F36)/24</f>
        <v>0.68749999999999989</v>
      </c>
      <c r="I36" s="1"/>
      <c r="J36" s="3"/>
      <c r="K36" s="2"/>
      <c r="L36" s="43"/>
      <c r="M36" s="43"/>
      <c r="N36" s="44"/>
      <c r="O36" s="44"/>
      <c r="P36" s="1"/>
      <c r="Q36" s="3"/>
      <c r="R36" s="2" t="s">
        <v>88</v>
      </c>
      <c r="S36" s="43">
        <f>'Work Steps Updated'!$G38</f>
        <v>1.6666666666666667</v>
      </c>
      <c r="T36" s="43">
        <v>3</v>
      </c>
      <c r="U36" s="44">
        <f>V34+((5/60)/24)</f>
        <v>0.50115740740740733</v>
      </c>
      <c r="V36" s="44">
        <f>U36+(S36/T36)/24</f>
        <v>0.52430555555555547</v>
      </c>
      <c r="W36" s="1"/>
      <c r="X36" s="3"/>
      <c r="Y36" s="2"/>
      <c r="AE36" s="3"/>
      <c r="AF36" s="2"/>
      <c r="AL36" s="3"/>
      <c r="AM36" s="2"/>
      <c r="AS36" s="3"/>
      <c r="AT36" s="2"/>
      <c r="AW36" s="3"/>
      <c r="AX36" s="2"/>
      <c r="BA36" s="3"/>
    </row>
    <row r="37" spans="2:53" x14ac:dyDescent="0.2">
      <c r="B37" t="s">
        <v>55</v>
      </c>
      <c r="D37" s="2" t="s">
        <v>80</v>
      </c>
      <c r="E37" s="43">
        <f>'Work Steps Updated'!$G39</f>
        <v>1</v>
      </c>
      <c r="F37" s="43">
        <v>2</v>
      </c>
      <c r="G37" s="44">
        <f>H36+((5/60)/24)</f>
        <v>0.6909722222222221</v>
      </c>
      <c r="H37" s="44">
        <f>G37+(E37/F37)/24</f>
        <v>0.71180555555555547</v>
      </c>
      <c r="I37" s="1"/>
      <c r="J37" s="3"/>
      <c r="K37" s="2"/>
      <c r="L37" s="43"/>
      <c r="M37" s="43"/>
      <c r="N37" s="44"/>
      <c r="O37" s="44"/>
      <c r="P37" s="1"/>
      <c r="Q37" s="3"/>
      <c r="R37" s="2" t="s">
        <v>88</v>
      </c>
      <c r="S37" s="43">
        <f>'Work Steps Updated'!$G39</f>
        <v>1</v>
      </c>
      <c r="T37" s="43">
        <v>4</v>
      </c>
      <c r="U37" s="44">
        <f>V35+((5/60)/24)</f>
        <v>0.54861111111111105</v>
      </c>
      <c r="V37" s="44">
        <f>U37+(S37/T37)/24</f>
        <v>0.55902777777777768</v>
      </c>
      <c r="W37" s="1"/>
      <c r="X37" s="3"/>
      <c r="Y37" s="2"/>
      <c r="AE37" s="3"/>
      <c r="AF37" s="2"/>
      <c r="AL37" s="3"/>
      <c r="AM37" s="2"/>
      <c r="AS37" s="3"/>
      <c r="AT37" s="2"/>
      <c r="AW37" s="3"/>
      <c r="AX37" s="2"/>
      <c r="BA37" s="3"/>
    </row>
    <row r="38" spans="2:53" x14ac:dyDescent="0.2">
      <c r="D38" s="2"/>
      <c r="J38" s="3"/>
      <c r="K38" s="2"/>
      <c r="Q38" s="3"/>
      <c r="R38" s="2"/>
      <c r="X38" s="3"/>
      <c r="Y38" s="2"/>
      <c r="AE38" s="3"/>
      <c r="AF38" s="2"/>
      <c r="AL38" s="3"/>
      <c r="AM38" s="2"/>
      <c r="AS38" s="3"/>
      <c r="AT38" s="2"/>
      <c r="AW38" s="3"/>
      <c r="AX38" s="2"/>
      <c r="BA38" s="3"/>
    </row>
    <row r="39" spans="2:53" x14ac:dyDescent="0.2">
      <c r="B39" t="s">
        <v>14</v>
      </c>
      <c r="D39" s="2"/>
      <c r="J39" s="3"/>
      <c r="K39" s="2"/>
      <c r="Q39" s="3"/>
      <c r="R39" s="2"/>
      <c r="X39" s="3"/>
      <c r="Y39" s="2"/>
      <c r="AE39" s="3"/>
      <c r="AF39" s="2"/>
      <c r="AL39" s="3"/>
      <c r="AM39" s="2"/>
      <c r="AS39" s="3"/>
      <c r="AT39" s="2"/>
      <c r="AW39" s="3"/>
      <c r="AX39" s="2"/>
      <c r="BA39" s="3"/>
    </row>
    <row r="40" spans="2:53" x14ac:dyDescent="0.2">
      <c r="B40" t="s">
        <v>51</v>
      </c>
      <c r="D40" s="2"/>
      <c r="J40" s="3"/>
      <c r="K40" s="2" t="s">
        <v>83</v>
      </c>
      <c r="L40" s="43">
        <f>'Work Steps Updated'!$G42</f>
        <v>11.111111111111111</v>
      </c>
      <c r="M40" s="43">
        <v>5</v>
      </c>
      <c r="N40" s="44">
        <v>0.29166666666666669</v>
      </c>
      <c r="O40" s="44">
        <f>N40+(L40/M40)/24</f>
        <v>0.3842592592592593</v>
      </c>
      <c r="P40" s="1"/>
      <c r="Q40" s="3"/>
      <c r="R40" s="2" t="s">
        <v>83</v>
      </c>
      <c r="S40" s="43">
        <f>'Work Steps Updated'!$G42</f>
        <v>11.111111111111111</v>
      </c>
      <c r="T40" s="43">
        <v>5</v>
      </c>
      <c r="U40" s="44">
        <v>6.25E-2</v>
      </c>
      <c r="V40" s="44">
        <f>U40+(S40/T40)/24</f>
        <v>0.15509259259259262</v>
      </c>
      <c r="W40" s="1"/>
      <c r="X40" s="3"/>
      <c r="Y40" s="2"/>
      <c r="AE40" s="3"/>
      <c r="AF40" s="2"/>
      <c r="AL40" s="3"/>
      <c r="AM40" s="2"/>
      <c r="AS40" s="3"/>
      <c r="AT40" s="2"/>
      <c r="AW40" s="3"/>
      <c r="AX40" s="2"/>
      <c r="BA40" s="3"/>
    </row>
    <row r="41" spans="2:53" x14ac:dyDescent="0.2">
      <c r="B41" t="s">
        <v>43</v>
      </c>
      <c r="D41" s="2"/>
      <c r="J41" s="3"/>
      <c r="K41" s="2" t="s">
        <v>83</v>
      </c>
      <c r="L41" s="43">
        <f>'Work Steps Updated'!$G43</f>
        <v>3.3333333333333335</v>
      </c>
      <c r="M41" s="43">
        <v>5</v>
      </c>
      <c r="N41" s="44">
        <f>O40+((5/60)/24)</f>
        <v>0.38773148148148151</v>
      </c>
      <c r="O41" s="44">
        <f>N41+(L41/M41)/24</f>
        <v>0.4155092592592593</v>
      </c>
      <c r="P41" s="1"/>
      <c r="Q41" s="3"/>
      <c r="R41" s="2" t="s">
        <v>83</v>
      </c>
      <c r="S41" s="43">
        <f>'Work Steps Updated'!$G43</f>
        <v>3.3333333333333335</v>
      </c>
      <c r="T41" s="43">
        <v>5</v>
      </c>
      <c r="U41" s="44">
        <f>V40+((5/60)/24)</f>
        <v>0.15856481481481483</v>
      </c>
      <c r="V41" s="44">
        <f>U41+(S41/T41)/24</f>
        <v>0.18634259259259262</v>
      </c>
      <c r="W41" s="1"/>
      <c r="X41" s="3"/>
      <c r="Y41" s="2"/>
      <c r="AE41" s="3"/>
      <c r="AF41" s="2"/>
      <c r="AL41" s="3"/>
      <c r="AM41" s="2"/>
      <c r="AS41" s="3"/>
      <c r="AT41" s="2"/>
      <c r="AW41" s="3"/>
      <c r="AX41" s="2"/>
      <c r="BA41" s="3"/>
    </row>
    <row r="42" spans="2:53" x14ac:dyDescent="0.2">
      <c r="B42" t="s">
        <v>44</v>
      </c>
      <c r="D42" s="2"/>
      <c r="J42" s="3"/>
      <c r="K42" s="2" t="s">
        <v>83</v>
      </c>
      <c r="L42" s="43">
        <f>'Work Steps Updated'!$G44</f>
        <v>2</v>
      </c>
      <c r="M42" s="43">
        <v>5</v>
      </c>
      <c r="N42" s="44">
        <f>O41+((5/60)/24)</f>
        <v>0.41898148148148151</v>
      </c>
      <c r="O42" s="44">
        <f>N42+(L42/M42)/24</f>
        <v>0.43564814814814817</v>
      </c>
      <c r="P42" s="1"/>
      <c r="Q42" s="3"/>
      <c r="R42" s="2"/>
      <c r="X42" s="3"/>
      <c r="Y42" s="2" t="s">
        <v>83</v>
      </c>
      <c r="Z42" s="43">
        <f>'Work Steps Updated'!$G44</f>
        <v>2</v>
      </c>
      <c r="AA42" s="43">
        <v>5</v>
      </c>
      <c r="AB42" s="44">
        <v>0.29166666666666669</v>
      </c>
      <c r="AC42" s="44">
        <f>AB42+(Z42/AA42)/24</f>
        <v>0.30833333333333335</v>
      </c>
      <c r="AD42" s="1"/>
      <c r="AE42" s="3"/>
      <c r="AF42" s="2"/>
      <c r="AL42" s="3"/>
      <c r="AM42" s="2"/>
      <c r="AS42" s="3"/>
      <c r="AT42" s="2"/>
      <c r="AW42" s="3"/>
      <c r="AX42" s="2"/>
      <c r="BA42" s="3"/>
    </row>
    <row r="43" spans="2:53" x14ac:dyDescent="0.2">
      <c r="B43" t="s">
        <v>61</v>
      </c>
      <c r="D43" s="2"/>
      <c r="J43" s="3"/>
      <c r="K43" s="2" t="s">
        <v>83</v>
      </c>
      <c r="L43" s="43">
        <f>'Work Steps Updated'!$G45</f>
        <v>6.666666666666667</v>
      </c>
      <c r="M43" s="43">
        <v>5</v>
      </c>
      <c r="N43" s="44">
        <f>O42+((5/60)/24)</f>
        <v>0.43912037037037038</v>
      </c>
      <c r="O43" s="44">
        <f>N43+(L43/M43)/24+0.5/24</f>
        <v>0.51550925925925928</v>
      </c>
      <c r="P43" s="1"/>
      <c r="Q43" s="3"/>
      <c r="R43" s="2"/>
      <c r="X43" s="3"/>
      <c r="Y43" s="2" t="s">
        <v>83</v>
      </c>
      <c r="Z43" s="43">
        <f>'Work Steps Updated'!$G45</f>
        <v>6.666666666666667</v>
      </c>
      <c r="AA43" s="43">
        <v>5</v>
      </c>
      <c r="AB43" s="44">
        <f>AC42+((5/60)/24)</f>
        <v>0.31180555555555556</v>
      </c>
      <c r="AC43" s="44">
        <f>AB43+(Z43/AA43)/24</f>
        <v>0.36736111111111114</v>
      </c>
      <c r="AD43" s="1"/>
      <c r="AE43" s="3"/>
      <c r="AF43" s="2"/>
      <c r="AL43" s="3"/>
      <c r="AM43" s="2"/>
      <c r="AS43" s="3"/>
      <c r="AT43" s="2"/>
      <c r="AW43" s="3"/>
      <c r="AX43" s="2"/>
      <c r="BA43" s="3"/>
    </row>
    <row r="44" spans="2:53" x14ac:dyDescent="0.2">
      <c r="D44" s="2"/>
      <c r="J44" s="3"/>
      <c r="K44" s="2"/>
      <c r="Q44" s="3"/>
      <c r="R44" s="2"/>
      <c r="X44" s="3"/>
      <c r="Y44" s="2"/>
      <c r="AE44" s="3"/>
      <c r="AF44" s="2"/>
      <c r="AL44" s="3"/>
      <c r="AM44" s="2"/>
      <c r="AS44" s="3"/>
      <c r="AT44" s="2"/>
      <c r="AW44" s="3"/>
      <c r="AX44" s="2"/>
      <c r="BA44" s="3"/>
    </row>
    <row r="45" spans="2:53" x14ac:dyDescent="0.2">
      <c r="B45" t="s">
        <v>15</v>
      </c>
      <c r="D45" s="2"/>
      <c r="J45" s="3"/>
      <c r="K45" s="2"/>
      <c r="Q45" s="3"/>
      <c r="R45" s="2"/>
      <c r="X45" s="3"/>
      <c r="Y45" s="2"/>
      <c r="AE45" s="3"/>
      <c r="AF45" s="2"/>
      <c r="AL45" s="3"/>
      <c r="AM45" s="2"/>
      <c r="AS45" s="3"/>
      <c r="AT45" s="2"/>
      <c r="AW45" s="3"/>
      <c r="AX45" s="2"/>
      <c r="BA45" s="3"/>
    </row>
    <row r="46" spans="2:53" x14ac:dyDescent="0.2">
      <c r="B46" t="s">
        <v>45</v>
      </c>
      <c r="D46" s="2"/>
      <c r="J46" s="3"/>
      <c r="K46" s="2" t="s">
        <v>83</v>
      </c>
      <c r="L46" s="43">
        <f>'Work Steps Updated'!$G48</f>
        <v>13.333333333333334</v>
      </c>
      <c r="M46" s="43">
        <v>5</v>
      </c>
      <c r="N46" s="44">
        <f>O43+((5/60)/24)</f>
        <v>0.51898148148148149</v>
      </c>
      <c r="O46" s="44">
        <f>N46+(L46/M46)/24</f>
        <v>0.63009259259259265</v>
      </c>
      <c r="P46" s="1"/>
      <c r="Q46" s="3"/>
      <c r="R46" s="2"/>
      <c r="X46" s="3"/>
      <c r="Y46" s="2" t="s">
        <v>83</v>
      </c>
      <c r="Z46" s="43">
        <f>'Work Steps Updated'!$G48</f>
        <v>13.333333333333334</v>
      </c>
      <c r="AA46" s="43">
        <v>5</v>
      </c>
      <c r="AB46" s="44">
        <f>AC43+((5/60)/24)</f>
        <v>0.37083333333333335</v>
      </c>
      <c r="AC46" s="44">
        <f>AB46+(Z46/AA46)/24+0.5/24</f>
        <v>0.50277777777777777</v>
      </c>
      <c r="AD46" s="1"/>
      <c r="AE46" s="3"/>
      <c r="AF46" s="2"/>
      <c r="AL46" s="3"/>
      <c r="AM46" s="2"/>
      <c r="AS46" s="3"/>
      <c r="AT46" s="2"/>
      <c r="AW46" s="3"/>
      <c r="AX46" s="2"/>
      <c r="BA46" s="3"/>
    </row>
    <row r="47" spans="2:53" x14ac:dyDescent="0.2">
      <c r="B47" t="s">
        <v>46</v>
      </c>
      <c r="D47" s="2"/>
      <c r="J47" s="3"/>
      <c r="K47" s="2" t="s">
        <v>76</v>
      </c>
      <c r="L47" s="43">
        <f>'Work Steps Updated'!$G49</f>
        <v>1.5555555555555556</v>
      </c>
      <c r="M47" s="43">
        <v>1</v>
      </c>
      <c r="N47" s="44">
        <f>O46+((5/60)/24)</f>
        <v>0.63356481481481486</v>
      </c>
      <c r="O47" s="44">
        <f>N47+(L47/M47)/24</f>
        <v>0.69837962962962963</v>
      </c>
      <c r="P47" s="1"/>
      <c r="Q47" s="3"/>
      <c r="R47" s="2"/>
      <c r="X47" s="3"/>
      <c r="Y47" s="2" t="s">
        <v>76</v>
      </c>
      <c r="Z47" s="43">
        <f>'Work Steps Updated'!$G49</f>
        <v>1.5555555555555556</v>
      </c>
      <c r="AA47" s="43">
        <v>1</v>
      </c>
      <c r="AB47" s="44">
        <f>AC46+((5/60)/24)</f>
        <v>0.50624999999999998</v>
      </c>
      <c r="AC47" s="44">
        <f>AB47+(Z47/AA47)/24</f>
        <v>0.57106481481481475</v>
      </c>
      <c r="AD47" s="1"/>
      <c r="AE47" s="3"/>
      <c r="AF47" s="2"/>
      <c r="AL47" s="3"/>
      <c r="AM47" s="2"/>
      <c r="AS47" s="3"/>
      <c r="AT47" s="2"/>
      <c r="AW47" s="3"/>
      <c r="AX47" s="2"/>
      <c r="BA47" s="3"/>
    </row>
    <row r="48" spans="2:53" x14ac:dyDescent="0.2">
      <c r="D48" s="2"/>
      <c r="J48" s="3"/>
      <c r="K48" s="2"/>
      <c r="Q48" s="3"/>
      <c r="R48" s="2"/>
      <c r="X48" s="3"/>
      <c r="Y48" s="2"/>
      <c r="AE48" s="3"/>
      <c r="AF48" s="2"/>
      <c r="AL48" s="3"/>
      <c r="AM48" s="2"/>
      <c r="AS48" s="3"/>
      <c r="AT48" s="2"/>
      <c r="AW48" s="3"/>
      <c r="AX48" s="2"/>
      <c r="BA48" s="3"/>
    </row>
    <row r="49" spans="2:53" x14ac:dyDescent="0.2">
      <c r="B49" t="s">
        <v>23</v>
      </c>
      <c r="D49" s="2"/>
      <c r="J49" s="3"/>
      <c r="K49" s="2"/>
      <c r="Q49" s="3"/>
      <c r="R49" s="2"/>
      <c r="X49" s="3"/>
      <c r="Y49" s="2"/>
      <c r="AE49" s="3"/>
      <c r="AF49" s="2"/>
      <c r="AL49" s="3"/>
      <c r="AM49" s="2"/>
      <c r="AS49" s="3"/>
      <c r="AT49" s="2"/>
      <c r="AW49" s="3"/>
      <c r="AX49" s="2"/>
      <c r="BA49" s="3"/>
    </row>
    <row r="50" spans="2:53" x14ac:dyDescent="0.2">
      <c r="B50" s="45" t="s">
        <v>47</v>
      </c>
      <c r="D50" s="2"/>
      <c r="J50" s="3"/>
      <c r="K50" s="2"/>
      <c r="Q50" s="3"/>
      <c r="R50" s="2" t="s">
        <v>85</v>
      </c>
      <c r="S50" s="43">
        <f>'Work Steps Updated'!$G52</f>
        <v>3.3333333333333335</v>
      </c>
      <c r="T50" s="43">
        <v>3</v>
      </c>
      <c r="U50" s="44">
        <v>0.29166666666666669</v>
      </c>
      <c r="V50" s="44">
        <f>U50+(S50/T50)/24</f>
        <v>0.33796296296296297</v>
      </c>
      <c r="W50" s="1"/>
      <c r="X50" s="3"/>
      <c r="Y50" s="2" t="s">
        <v>85</v>
      </c>
      <c r="Z50" s="43">
        <f>'Work Steps Updated'!$G52</f>
        <v>3.3333333333333335</v>
      </c>
      <c r="AA50" s="43">
        <v>3</v>
      </c>
      <c r="AB50" s="44">
        <f>AC47+((5/60)/24)</f>
        <v>0.57453703703703696</v>
      </c>
      <c r="AC50" s="44">
        <f>AB50+(Z50/AA50)/24</f>
        <v>0.62083333333333324</v>
      </c>
      <c r="AD50" s="1"/>
      <c r="AE50" s="3"/>
      <c r="AF50" s="2"/>
      <c r="AL50" s="3"/>
      <c r="AM50" s="2"/>
      <c r="AS50" s="3"/>
      <c r="AT50" s="2"/>
      <c r="AW50" s="3"/>
      <c r="AX50" s="2"/>
      <c r="BA50" s="3"/>
    </row>
    <row r="51" spans="2:53" x14ac:dyDescent="0.2">
      <c r="B51" s="45" t="s">
        <v>48</v>
      </c>
      <c r="D51" s="2"/>
      <c r="J51" s="3"/>
      <c r="K51" s="2"/>
      <c r="Q51" s="3"/>
      <c r="R51" s="2" t="s">
        <v>85</v>
      </c>
      <c r="S51" s="43">
        <f>'Work Steps Updated'!$G53</f>
        <v>5.5555555555555554</v>
      </c>
      <c r="T51" s="43">
        <v>3</v>
      </c>
      <c r="U51" s="44">
        <f>V50+((5/60)/24)</f>
        <v>0.34143518518518517</v>
      </c>
      <c r="V51" s="44">
        <f>U51+(S51/T51)/24</f>
        <v>0.41859567901234568</v>
      </c>
      <c r="W51" s="1"/>
      <c r="X51" s="3"/>
      <c r="Y51" s="2"/>
      <c r="AE51" s="3"/>
      <c r="AF51" s="2" t="s">
        <v>89</v>
      </c>
      <c r="AG51" s="43">
        <f>'Work Steps Updated'!$G53</f>
        <v>5.5555555555555554</v>
      </c>
      <c r="AH51" s="43">
        <v>8</v>
      </c>
      <c r="AI51" s="44">
        <v>0.29166666666666669</v>
      </c>
      <c r="AJ51" s="44">
        <f>AI51+(AG51/AH51)/24</f>
        <v>0.32060185185185186</v>
      </c>
      <c r="AK51" s="1"/>
      <c r="AL51" s="3"/>
      <c r="AM51" s="2"/>
      <c r="AS51" s="3"/>
      <c r="AT51" s="2"/>
      <c r="AW51" s="3"/>
      <c r="AX51" s="2"/>
      <c r="BA51" s="3"/>
    </row>
    <row r="52" spans="2:53" x14ac:dyDescent="0.2">
      <c r="B52" s="45" t="s">
        <v>16</v>
      </c>
      <c r="D52" s="2"/>
      <c r="J52" s="3"/>
      <c r="K52" s="2"/>
      <c r="Q52" s="3"/>
      <c r="R52" s="2" t="s">
        <v>85</v>
      </c>
      <c r="S52" s="43">
        <f>'Work Steps Updated'!$G54</f>
        <v>3.3333333333333335</v>
      </c>
      <c r="T52" s="43">
        <v>3</v>
      </c>
      <c r="U52" s="44">
        <f>V51+((5/60)/24)</f>
        <v>0.42206790123456789</v>
      </c>
      <c r="V52" s="44">
        <f>U52+(S52/T52)/24</f>
        <v>0.46836419753086417</v>
      </c>
      <c r="W52" s="1"/>
      <c r="X52" s="3"/>
      <c r="Y52" s="2"/>
      <c r="AE52" s="3"/>
      <c r="AF52" s="2" t="s">
        <v>89</v>
      </c>
      <c r="AG52" s="43">
        <f>'Work Steps Updated'!$G54</f>
        <v>3.3333333333333335</v>
      </c>
      <c r="AH52" s="43">
        <v>8</v>
      </c>
      <c r="AI52" s="44">
        <f>AJ51+((5/60)/24)</f>
        <v>0.32407407407407407</v>
      </c>
      <c r="AJ52" s="44">
        <f>AI52+(AG52/AH52)/24</f>
        <v>0.34143518518518517</v>
      </c>
      <c r="AK52" s="1"/>
      <c r="AL52" s="3"/>
      <c r="AM52" s="2"/>
      <c r="AS52" s="3"/>
      <c r="AT52" s="2"/>
      <c r="AW52" s="3"/>
      <c r="AX52" s="2"/>
      <c r="BA52" s="3"/>
    </row>
    <row r="53" spans="2:53" ht="17" thickBot="1" x14ac:dyDescent="0.25">
      <c r="B53" s="45" t="s">
        <v>17</v>
      </c>
      <c r="D53" s="4"/>
      <c r="E53" s="5"/>
      <c r="F53" s="5"/>
      <c r="G53" s="5"/>
      <c r="H53" s="5"/>
      <c r="I53" s="5"/>
      <c r="J53" s="6"/>
      <c r="K53" s="4"/>
      <c r="L53" s="5"/>
      <c r="M53" s="5"/>
      <c r="N53" s="5"/>
      <c r="O53" s="5"/>
      <c r="P53" s="5"/>
      <c r="Q53" s="6"/>
      <c r="R53" s="4" t="s">
        <v>85</v>
      </c>
      <c r="S53" s="46">
        <f>'Work Steps Updated'!$G55</f>
        <v>6.666666666666667</v>
      </c>
      <c r="T53" s="46">
        <v>3</v>
      </c>
      <c r="U53" s="47">
        <f>V52+((5/60)/24)</f>
        <v>0.47183641975308638</v>
      </c>
      <c r="V53" s="47">
        <f>U53+(S53/T53)/24</f>
        <v>0.56442901234567899</v>
      </c>
      <c r="W53" s="5"/>
      <c r="X53" s="6"/>
      <c r="Y53" s="4"/>
      <c r="Z53" s="5"/>
      <c r="AA53" s="5"/>
      <c r="AB53" s="5"/>
      <c r="AC53" s="5"/>
      <c r="AD53" s="5"/>
      <c r="AE53" s="6"/>
      <c r="AF53" s="4" t="s">
        <v>89</v>
      </c>
      <c r="AG53" s="49">
        <f>'Work Steps Updated'!$G55</f>
        <v>6.666666666666667</v>
      </c>
      <c r="AH53" s="49">
        <v>8</v>
      </c>
      <c r="AI53" s="47">
        <f>AJ52+((5/60)/24)</f>
        <v>0.34490740740740738</v>
      </c>
      <c r="AJ53" s="47">
        <f>AI53+(AG53/AH53)/24</f>
        <v>0.37962962962962959</v>
      </c>
      <c r="AK53" s="50"/>
      <c r="AL53" s="6"/>
      <c r="AM53" s="4"/>
      <c r="AN53" s="5"/>
      <c r="AO53" s="5"/>
      <c r="AP53" s="5"/>
      <c r="AQ53" s="5"/>
      <c r="AR53" s="5"/>
      <c r="AS53" s="6"/>
      <c r="AT53" s="4"/>
      <c r="AU53" s="5"/>
      <c r="AV53" s="5"/>
      <c r="AW53" s="6"/>
      <c r="AX53" s="4"/>
      <c r="AY53" s="5"/>
      <c r="AZ53" s="5"/>
      <c r="BA53" s="6"/>
    </row>
    <row r="60" spans="2:53" x14ac:dyDescent="0.2">
      <c r="B60" s="45" t="s">
        <v>84</v>
      </c>
    </row>
    <row r="61" spans="2:53" x14ac:dyDescent="0.2">
      <c r="B61" s="51"/>
    </row>
  </sheetData>
  <mergeCells count="8">
    <mergeCell ref="AT1:AW1"/>
    <mergeCell ref="AX1:BA1"/>
    <mergeCell ref="D1:J1"/>
    <mergeCell ref="K1:Q1"/>
    <mergeCell ref="R1:X1"/>
    <mergeCell ref="Y1:AE1"/>
    <mergeCell ref="AF1:AL1"/>
    <mergeCell ref="AM1:A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889057BED064C8739D6F02F98AC0B" ma:contentTypeVersion="11" ma:contentTypeDescription="Create a new document." ma:contentTypeScope="" ma:versionID="5fc30fb47724c5955a5c696c9354423f">
  <xsd:schema xmlns:xsd="http://www.w3.org/2001/XMLSchema" xmlns:xs="http://www.w3.org/2001/XMLSchema" xmlns:p="http://schemas.microsoft.com/office/2006/metadata/properties" xmlns:ns3="8820eca1-1488-420f-9ad9-f02cc0933c33" targetNamespace="http://schemas.microsoft.com/office/2006/metadata/properties" ma:root="true" ma:fieldsID="e4a1626e02d020717f21b6a498bc98e2" ns3:_="">
    <xsd:import namespace="8820eca1-1488-420f-9ad9-f02cc0933c3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0eca1-1488-420f-9ad9-f02cc0933c3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20eca1-1488-420f-9ad9-f02cc0933c33" xsi:nil="true"/>
  </documentManagement>
</p:properties>
</file>

<file path=customXml/itemProps1.xml><?xml version="1.0" encoding="utf-8"?>
<ds:datastoreItem xmlns:ds="http://schemas.openxmlformats.org/officeDocument/2006/customXml" ds:itemID="{499D4543-2ABE-4506-9A96-A1F8F2A9F3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A5F991-4494-4572-B898-6FA89CE5DC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0eca1-1488-420f-9ad9-f02cc0933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0D6E0D-8BF0-423F-865E-BAC98BC8351D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8820eca1-1488-420f-9ad9-f02cc0933c33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Steps Updated</vt:lpstr>
      <vt:lpstr>Production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Hoda</dc:creator>
  <cp:lastModifiedBy>Amir Hoda</cp:lastModifiedBy>
  <dcterms:created xsi:type="dcterms:W3CDTF">2026-01-07T03:15:24Z</dcterms:created>
  <dcterms:modified xsi:type="dcterms:W3CDTF">2026-01-12T04:09:52Z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0x0101001BA889057BED064C8739D6F02F98AC0B</vt:lpwstr>
  </property>
</Properties>
</file>