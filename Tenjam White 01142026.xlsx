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hoda/Library/Mobile Documents/com~apple~CloudDocs/SIJ/2023 Engagement/Production/"/>
    </mc:Choice>
  </mc:AlternateContent>
  <xr:revisionPtr revIDLastSave="0" documentId="8_{7CF46FAF-EE6E-874D-ACDE-F888C1FCDB10}" xr6:coauthVersionLast="47" xr6:coauthVersionMax="47" xr10:uidLastSave="{00000000-0000-0000-0000-000000000000}"/>
  <bookViews>
    <workbookView xWindow="360" yWindow="540" windowWidth="22520" windowHeight="13540" xr2:uid="{77630272-2AA1-F841-91C4-4CC01DA40559}"/>
  </bookViews>
  <sheets>
    <sheet name="Prod Plan 0115" sheetId="8" r:id="rId1"/>
    <sheet name="Prod Plan G" sheetId="5" r:id="rId2"/>
    <sheet name="Analysis" sheetId="7" r:id="rId3"/>
    <sheet name="Production Data" sheetId="6" r:id="rId4"/>
    <sheet name="Work Steps" sheetId="3" r:id="rId5"/>
    <sheet name="BOM Trsfm" sheetId="2" r:id="rId6"/>
    <sheet name="BOMInstructions" sheetId="1" r:id="rId7"/>
    <sheet name="Equip Matrix" sheetId="4" r:id="rId8"/>
  </sheets>
  <definedNames>
    <definedName name="file584747SIJFP1247Company47Drawings47INDUSTRIAL3720T47Tenjam4725JAM0013720REV346pdf" localSheetId="6">BOMInstructions!$G$10</definedName>
    <definedName name="_xlnm.Print_Area" localSheetId="4">'Work Steps'!$C$1:$I$32</definedName>
  </definedNames>
  <calcPr calcId="191029"/>
  <pivotCaches>
    <pivotCache cacheId="9" r:id="rId9"/>
    <pivotCache cacheId="1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10" i="2"/>
  <c r="Q26" i="8"/>
  <c r="R26" i="8" s="1"/>
  <c r="Q20" i="8"/>
  <c r="R20" i="8" s="1"/>
  <c r="Q19" i="8"/>
  <c r="R19" i="8" s="1"/>
  <c r="S19" i="8" s="1"/>
  <c r="T19" i="8" s="1"/>
  <c r="R25" i="8"/>
  <c r="S25" i="8" s="1"/>
  <c r="T25" i="8" s="1"/>
  <c r="R18" i="8"/>
  <c r="S18" i="8" s="1"/>
  <c r="T18" i="8" s="1"/>
  <c r="R17" i="8"/>
  <c r="S17" i="8" s="1"/>
  <c r="R16" i="8"/>
  <c r="S16" i="8" s="1"/>
  <c r="R24" i="8"/>
  <c r="S24" i="8" s="1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R12" i="8" s="1"/>
  <c r="O11" i="8"/>
  <c r="O10" i="8"/>
  <c r="O9" i="8"/>
  <c r="O8" i="8"/>
  <c r="O7" i="8"/>
  <c r="O6" i="8"/>
  <c r="O5" i="8"/>
  <c r="O4" i="8"/>
  <c r="J15" i="8"/>
  <c r="K15" i="8" s="1"/>
  <c r="L15" i="8" s="1"/>
  <c r="J17" i="8"/>
  <c r="K17" i="8" s="1"/>
  <c r="L17" i="8" s="1"/>
  <c r="J16" i="8"/>
  <c r="K16" i="8" s="1"/>
  <c r="L16" i="8" s="1"/>
  <c r="I16" i="8"/>
  <c r="R13" i="8"/>
  <c r="J13" i="8"/>
  <c r="K13" i="8" s="1"/>
  <c r="L13" i="8" s="1"/>
  <c r="J14" i="8"/>
  <c r="I14" i="8"/>
  <c r="K14" i="8"/>
  <c r="L14" i="8" s="1"/>
  <c r="I12" i="8"/>
  <c r="J12" i="8" s="1"/>
  <c r="K12" i="8" s="1"/>
  <c r="L12" i="8" s="1"/>
  <c r="J11" i="8"/>
  <c r="K11" i="8" s="1"/>
  <c r="L11" i="8" s="1"/>
  <c r="J7" i="8"/>
  <c r="K7" i="8" s="1"/>
  <c r="L7" i="8" s="1"/>
  <c r="J6" i="8"/>
  <c r="K6" i="8" s="1"/>
  <c r="L6" i="8" s="1"/>
  <c r="K24" i="8"/>
  <c r="L24" i="8" s="1"/>
  <c r="J10" i="8"/>
  <c r="J22" i="8"/>
  <c r="J24" i="8"/>
  <c r="K22" i="8"/>
  <c r="K10" i="8"/>
  <c r="L10" i="8" s="1"/>
  <c r="AB23" i="8"/>
  <c r="AB9" i="8"/>
  <c r="AB8" i="8"/>
  <c r="AB5" i="8"/>
  <c r="AB4" i="8"/>
  <c r="AB3" i="8"/>
  <c r="T23" i="8"/>
  <c r="T9" i="8"/>
  <c r="T8" i="8"/>
  <c r="T5" i="8"/>
  <c r="T4" i="8"/>
  <c r="T3" i="8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B4" i="5"/>
  <c r="AB3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33" i="8"/>
  <c r="L32" i="8"/>
  <c r="L31" i="8"/>
  <c r="L30" i="8"/>
  <c r="L29" i="8"/>
  <c r="L28" i="8"/>
  <c r="L27" i="8"/>
  <c r="L26" i="8"/>
  <c r="L25" i="8"/>
  <c r="L23" i="8"/>
  <c r="L21" i="8"/>
  <c r="L20" i="8"/>
  <c r="L19" i="8"/>
  <c r="L18" i="8"/>
  <c r="L9" i="8"/>
  <c r="L8" i="8"/>
  <c r="L5" i="8"/>
  <c r="L4" i="8"/>
  <c r="L3" i="8"/>
  <c r="G33" i="8"/>
  <c r="D33" i="8"/>
  <c r="C33" i="8"/>
  <c r="B33" i="8"/>
  <c r="A33" i="8"/>
  <c r="E33" i="8" s="1"/>
  <c r="G32" i="8"/>
  <c r="E32" i="8"/>
  <c r="M32" i="8" s="1"/>
  <c r="D32" i="8"/>
  <c r="C32" i="8"/>
  <c r="B32" i="8"/>
  <c r="A32" i="8"/>
  <c r="D31" i="8"/>
  <c r="C31" i="8"/>
  <c r="B31" i="8"/>
  <c r="A31" i="8"/>
  <c r="E31" i="8" s="1"/>
  <c r="G30" i="8"/>
  <c r="E30" i="8"/>
  <c r="M30" i="8" s="1"/>
  <c r="D30" i="8"/>
  <c r="C30" i="8"/>
  <c r="B30" i="8"/>
  <c r="A30" i="8"/>
  <c r="G29" i="8"/>
  <c r="E29" i="8"/>
  <c r="D29" i="8"/>
  <c r="C29" i="8"/>
  <c r="B29" i="8"/>
  <c r="A29" i="8"/>
  <c r="D28" i="8"/>
  <c r="C28" i="8"/>
  <c r="B28" i="8"/>
  <c r="A28" i="8"/>
  <c r="G28" i="8" s="1"/>
  <c r="G27" i="8"/>
  <c r="E27" i="8"/>
  <c r="M27" i="8" s="1"/>
  <c r="D27" i="8"/>
  <c r="C27" i="8"/>
  <c r="B27" i="8"/>
  <c r="A27" i="8"/>
  <c r="D26" i="8"/>
  <c r="C26" i="8"/>
  <c r="B26" i="8"/>
  <c r="A26" i="8"/>
  <c r="G26" i="8" s="1"/>
  <c r="G25" i="8"/>
  <c r="D25" i="8"/>
  <c r="C25" i="8"/>
  <c r="B25" i="8"/>
  <c r="A25" i="8"/>
  <c r="E25" i="8" s="1"/>
  <c r="G24" i="8"/>
  <c r="E24" i="8"/>
  <c r="D24" i="8"/>
  <c r="C24" i="8"/>
  <c r="B24" i="8"/>
  <c r="A24" i="8"/>
  <c r="D23" i="8"/>
  <c r="C23" i="8"/>
  <c r="B23" i="8"/>
  <c r="A23" i="8"/>
  <c r="E23" i="8" s="1"/>
  <c r="G22" i="8"/>
  <c r="E22" i="8"/>
  <c r="D22" i="8"/>
  <c r="C22" i="8"/>
  <c r="B22" i="8"/>
  <c r="A22" i="8"/>
  <c r="G21" i="8"/>
  <c r="E21" i="8"/>
  <c r="D21" i="8"/>
  <c r="C21" i="8"/>
  <c r="B21" i="8"/>
  <c r="A21" i="8"/>
  <c r="D20" i="8"/>
  <c r="C20" i="8"/>
  <c r="B20" i="8"/>
  <c r="A20" i="8"/>
  <c r="G20" i="8" s="1"/>
  <c r="G19" i="8"/>
  <c r="E19" i="8"/>
  <c r="M19" i="8" s="1"/>
  <c r="D19" i="8"/>
  <c r="C19" i="8"/>
  <c r="B19" i="8"/>
  <c r="A19" i="8"/>
  <c r="D18" i="8"/>
  <c r="C18" i="8"/>
  <c r="B18" i="8"/>
  <c r="A18" i="8"/>
  <c r="E18" i="8" s="1"/>
  <c r="G17" i="8"/>
  <c r="D17" i="8"/>
  <c r="C17" i="8"/>
  <c r="B17" i="8"/>
  <c r="A17" i="8"/>
  <c r="E17" i="8" s="1"/>
  <c r="G16" i="8"/>
  <c r="E16" i="8"/>
  <c r="D16" i="8"/>
  <c r="C16" i="8"/>
  <c r="B16" i="8"/>
  <c r="A16" i="8"/>
  <c r="D15" i="8"/>
  <c r="C15" i="8"/>
  <c r="B15" i="8"/>
  <c r="A15" i="8"/>
  <c r="G15" i="8" s="1"/>
  <c r="G14" i="8"/>
  <c r="E14" i="8"/>
  <c r="D14" i="8"/>
  <c r="C14" i="8"/>
  <c r="B14" i="8"/>
  <c r="A14" i="8"/>
  <c r="G13" i="8"/>
  <c r="E13" i="8"/>
  <c r="D13" i="8"/>
  <c r="C13" i="8"/>
  <c r="B13" i="8"/>
  <c r="A13" i="8"/>
  <c r="D12" i="8"/>
  <c r="C12" i="8"/>
  <c r="B12" i="8"/>
  <c r="A12" i="8"/>
  <c r="G12" i="8" s="1"/>
  <c r="G11" i="8"/>
  <c r="E11" i="8"/>
  <c r="D11" i="8"/>
  <c r="C11" i="8"/>
  <c r="B11" i="8"/>
  <c r="A11" i="8"/>
  <c r="D10" i="8"/>
  <c r="C10" i="8"/>
  <c r="B10" i="8"/>
  <c r="A10" i="8"/>
  <c r="G10" i="8" s="1"/>
  <c r="G9" i="8"/>
  <c r="D9" i="8"/>
  <c r="C9" i="8"/>
  <c r="B9" i="8"/>
  <c r="A9" i="8"/>
  <c r="E9" i="8" s="1"/>
  <c r="G8" i="8"/>
  <c r="E8" i="8"/>
  <c r="M8" i="8" s="1"/>
  <c r="D8" i="8"/>
  <c r="C8" i="8"/>
  <c r="B8" i="8"/>
  <c r="A8" i="8"/>
  <c r="D7" i="8"/>
  <c r="C7" i="8"/>
  <c r="B7" i="8"/>
  <c r="A7" i="8"/>
  <c r="E7" i="8" s="1"/>
  <c r="G6" i="8"/>
  <c r="E6" i="8"/>
  <c r="D6" i="8"/>
  <c r="C6" i="8"/>
  <c r="B6" i="8"/>
  <c r="A6" i="8"/>
  <c r="G5" i="8"/>
  <c r="E5" i="8"/>
  <c r="D5" i="8"/>
  <c r="C5" i="8"/>
  <c r="B5" i="8"/>
  <c r="A5" i="8"/>
  <c r="D4" i="8"/>
  <c r="C4" i="8"/>
  <c r="B4" i="8"/>
  <c r="A4" i="8"/>
  <c r="G4" i="8" s="1"/>
  <c r="G3" i="8"/>
  <c r="E3" i="8"/>
  <c r="M3" i="8" s="1"/>
  <c r="D3" i="8"/>
  <c r="C3" i="8"/>
  <c r="B3" i="8"/>
  <c r="A3" i="8"/>
  <c r="U33" i="5"/>
  <c r="U32" i="5"/>
  <c r="W31" i="5"/>
  <c r="U31" i="5"/>
  <c r="U30" i="5"/>
  <c r="U29" i="5"/>
  <c r="W28" i="5"/>
  <c r="U28" i="5"/>
  <c r="U27" i="5"/>
  <c r="U26" i="5"/>
  <c r="U25" i="5"/>
  <c r="W25" i="5" s="1"/>
  <c r="W24" i="5"/>
  <c r="U24" i="5"/>
  <c r="W23" i="5"/>
  <c r="U23" i="5"/>
  <c r="U22" i="5"/>
  <c r="U21" i="5"/>
  <c r="W20" i="5"/>
  <c r="U20" i="5"/>
  <c r="U19" i="5"/>
  <c r="U18" i="5"/>
  <c r="U17" i="5"/>
  <c r="W17" i="5" s="1"/>
  <c r="W16" i="5"/>
  <c r="U16" i="5"/>
  <c r="W15" i="5"/>
  <c r="U15" i="5"/>
  <c r="U14" i="5"/>
  <c r="U13" i="5"/>
  <c r="W12" i="5"/>
  <c r="U12" i="5"/>
  <c r="U11" i="5"/>
  <c r="U10" i="5"/>
  <c r="U9" i="5"/>
  <c r="W9" i="5" s="1"/>
  <c r="W8" i="5"/>
  <c r="U8" i="5"/>
  <c r="W7" i="5"/>
  <c r="U7" i="5"/>
  <c r="U6" i="5"/>
  <c r="U5" i="5"/>
  <c r="W4" i="5"/>
  <c r="U4" i="5"/>
  <c r="U3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9" i="5"/>
  <c r="O8" i="5"/>
  <c r="O7" i="5"/>
  <c r="O6" i="5"/>
  <c r="O5" i="5"/>
  <c r="O4" i="5"/>
  <c r="O3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Y2" i="7"/>
  <c r="X2" i="7"/>
  <c r="Y35" i="7"/>
  <c r="X35" i="7"/>
  <c r="Y34" i="7"/>
  <c r="X34" i="7"/>
  <c r="Y33" i="7"/>
  <c r="X33" i="7"/>
  <c r="Y32" i="7"/>
  <c r="X32" i="7"/>
  <c r="Y31" i="7"/>
  <c r="X31" i="7"/>
  <c r="Y30" i="7"/>
  <c r="X30" i="7"/>
  <c r="Y29" i="7"/>
  <c r="X29" i="7"/>
  <c r="Y28" i="7"/>
  <c r="X28" i="7"/>
  <c r="Y27" i="7"/>
  <c r="X27" i="7"/>
  <c r="Y26" i="7"/>
  <c r="X26" i="7"/>
  <c r="Y25" i="7"/>
  <c r="X25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  <c r="Y8" i="7"/>
  <c r="X8" i="7"/>
  <c r="Y7" i="7"/>
  <c r="X7" i="7"/>
  <c r="Y6" i="7"/>
  <c r="X6" i="7"/>
  <c r="Y5" i="7"/>
  <c r="X5" i="7"/>
  <c r="W35" i="7"/>
  <c r="V35" i="7"/>
  <c r="W34" i="7"/>
  <c r="V34" i="7"/>
  <c r="W33" i="7"/>
  <c r="V33" i="7"/>
  <c r="W32" i="7"/>
  <c r="V32" i="7"/>
  <c r="W31" i="7"/>
  <c r="V31" i="7"/>
  <c r="W30" i="7"/>
  <c r="V30" i="7"/>
  <c r="W29" i="7"/>
  <c r="V29" i="7"/>
  <c r="W28" i="7"/>
  <c r="V28" i="7"/>
  <c r="W27" i="7"/>
  <c r="V27" i="7"/>
  <c r="W26" i="7"/>
  <c r="V26" i="7"/>
  <c r="W25" i="7"/>
  <c r="V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6" i="7"/>
  <c r="V6" i="7"/>
  <c r="W5" i="7"/>
  <c r="V5" i="7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Q27" i="8" l="1"/>
  <c r="R27" i="8" s="1"/>
  <c r="S26" i="8"/>
  <c r="T26" i="8" s="1"/>
  <c r="Q21" i="8"/>
  <c r="R21" i="8" s="1"/>
  <c r="S21" i="8" s="1"/>
  <c r="T21" i="8" s="1"/>
  <c r="S20" i="8"/>
  <c r="T20" i="8" s="1"/>
  <c r="S13" i="8"/>
  <c r="M16" i="8"/>
  <c r="T16" i="8" s="1"/>
  <c r="M14" i="8"/>
  <c r="T14" i="8" s="1"/>
  <c r="M11" i="8"/>
  <c r="T11" i="8" s="1"/>
  <c r="M6" i="8"/>
  <c r="T6" i="8" s="1"/>
  <c r="M24" i="8"/>
  <c r="T24" i="8" s="1"/>
  <c r="L22" i="8"/>
  <c r="M22" i="8"/>
  <c r="T22" i="8" s="1"/>
  <c r="M9" i="8"/>
  <c r="U14" i="8"/>
  <c r="AB14" i="8" s="1"/>
  <c r="M25" i="8"/>
  <c r="M31" i="8"/>
  <c r="M18" i="8"/>
  <c r="U19" i="8"/>
  <c r="AB19" i="8" s="1"/>
  <c r="U22" i="8"/>
  <c r="AB22" i="8" s="1"/>
  <c r="M33" i="8"/>
  <c r="U16" i="8"/>
  <c r="AB16" i="8" s="1"/>
  <c r="U3" i="8"/>
  <c r="O3" i="8"/>
  <c r="M17" i="8"/>
  <c r="T17" i="8" s="1"/>
  <c r="M23" i="8"/>
  <c r="U24" i="8"/>
  <c r="AB24" i="8" s="1"/>
  <c r="M7" i="8"/>
  <c r="T7" i="8" s="1"/>
  <c r="U8" i="8"/>
  <c r="E10" i="8"/>
  <c r="E26" i="8"/>
  <c r="E15" i="8"/>
  <c r="G18" i="8"/>
  <c r="E4" i="8"/>
  <c r="M5" i="8"/>
  <c r="G7" i="8"/>
  <c r="E12" i="8"/>
  <c r="M13" i="8"/>
  <c r="E20" i="8"/>
  <c r="M21" i="8"/>
  <c r="G23" i="8"/>
  <c r="E28" i="8"/>
  <c r="M29" i="8"/>
  <c r="G31" i="8"/>
  <c r="W10" i="5"/>
  <c r="W18" i="5"/>
  <c r="W26" i="5"/>
  <c r="W5" i="5"/>
  <c r="W13" i="5"/>
  <c r="W21" i="5"/>
  <c r="W29" i="5"/>
  <c r="W32" i="5"/>
  <c r="W3" i="5"/>
  <c r="W11" i="5"/>
  <c r="W19" i="5"/>
  <c r="W27" i="5"/>
  <c r="W6" i="5"/>
  <c r="W14" i="5"/>
  <c r="W22" i="5"/>
  <c r="W30" i="5"/>
  <c r="W33" i="5"/>
  <c r="O10" i="5"/>
  <c r="S27" i="8" l="1"/>
  <c r="Q28" i="8"/>
  <c r="R28" i="8" s="1"/>
  <c r="T13" i="8"/>
  <c r="U11" i="8"/>
  <c r="AB11" i="8" s="1"/>
  <c r="U6" i="8"/>
  <c r="AB6" i="8" s="1"/>
  <c r="U17" i="8"/>
  <c r="AB17" i="8" s="1"/>
  <c r="U5" i="8"/>
  <c r="M4" i="8"/>
  <c r="U21" i="8"/>
  <c r="AB21" i="8" s="1"/>
  <c r="M28" i="8"/>
  <c r="M20" i="8"/>
  <c r="W19" i="8"/>
  <c r="U7" i="8"/>
  <c r="AB7" i="8" s="1"/>
  <c r="U25" i="8"/>
  <c r="AB25" i="8" s="1"/>
  <c r="W6" i="8"/>
  <c r="W14" i="8"/>
  <c r="M15" i="8"/>
  <c r="T15" i="8" s="1"/>
  <c r="M26" i="8"/>
  <c r="M10" i="8"/>
  <c r="T10" i="8" s="1"/>
  <c r="W11" i="8"/>
  <c r="W3" i="8"/>
  <c r="W24" i="8"/>
  <c r="U18" i="8"/>
  <c r="AB18" i="8" s="1"/>
  <c r="W22" i="8"/>
  <c r="U23" i="8"/>
  <c r="U13" i="8"/>
  <c r="AB13" i="8" s="1"/>
  <c r="M12" i="8"/>
  <c r="W8" i="8"/>
  <c r="W16" i="8"/>
  <c r="U9" i="8"/>
  <c r="Q29" i="8" l="1"/>
  <c r="R29" i="8" s="1"/>
  <c r="S28" i="8"/>
  <c r="T28" i="8" s="1"/>
  <c r="T27" i="8"/>
  <c r="U27" i="8"/>
  <c r="S12" i="8"/>
  <c r="T12" i="8" s="1"/>
  <c r="U12" i="8"/>
  <c r="AB12" i="8" s="1"/>
  <c r="U10" i="8"/>
  <c r="AB10" i="8" s="1"/>
  <c r="W7" i="8"/>
  <c r="U28" i="8"/>
  <c r="AB28" i="8" s="1"/>
  <c r="U4" i="8"/>
  <c r="W13" i="8"/>
  <c r="U20" i="8"/>
  <c r="AB20" i="8" s="1"/>
  <c r="U26" i="8"/>
  <c r="AB26" i="8" s="1"/>
  <c r="W5" i="8"/>
  <c r="W18" i="8"/>
  <c r="U15" i="8"/>
  <c r="AB15" i="8" s="1"/>
  <c r="W25" i="8"/>
  <c r="W21" i="8"/>
  <c r="W9" i="8"/>
  <c r="W23" i="8"/>
  <c r="W17" i="8"/>
  <c r="S29" i="8" l="1"/>
  <c r="U29" i="8" s="1"/>
  <c r="Q30" i="8"/>
  <c r="R30" i="8" s="1"/>
  <c r="AB27" i="8"/>
  <c r="W27" i="8"/>
  <c r="W4" i="8"/>
  <c r="W15" i="8"/>
  <c r="W26" i="8"/>
  <c r="W20" i="8"/>
  <c r="W28" i="8"/>
  <c r="W10" i="8"/>
  <c r="W12" i="8"/>
  <c r="T29" i="8" l="1"/>
  <c r="S30" i="8"/>
  <c r="Q31" i="8"/>
  <c r="R31" i="8" s="1"/>
  <c r="AB29" i="8"/>
  <c r="W29" i="8"/>
  <c r="T30" i="8" l="1"/>
  <c r="U30" i="8"/>
  <c r="Q32" i="8"/>
  <c r="R32" i="8" s="1"/>
  <c r="S31" i="8"/>
  <c r="T31" i="8" l="1"/>
  <c r="U31" i="8"/>
  <c r="Q33" i="8"/>
  <c r="R33" i="8" s="1"/>
  <c r="S33" i="8" s="1"/>
  <c r="S32" i="8"/>
  <c r="AB30" i="8"/>
  <c r="W30" i="8"/>
  <c r="U35" i="7"/>
  <c r="T35" i="7"/>
  <c r="S35" i="7"/>
  <c r="U34" i="7"/>
  <c r="T34" i="7"/>
  <c r="S34" i="7"/>
  <c r="U33" i="7"/>
  <c r="T33" i="7"/>
  <c r="S33" i="7"/>
  <c r="U32" i="7"/>
  <c r="T32" i="7"/>
  <c r="S32" i="7"/>
  <c r="U31" i="7"/>
  <c r="T31" i="7"/>
  <c r="S31" i="7"/>
  <c r="U30" i="7"/>
  <c r="T30" i="7"/>
  <c r="S30" i="7"/>
  <c r="U29" i="7"/>
  <c r="T29" i="7"/>
  <c r="S29" i="7"/>
  <c r="U28" i="7"/>
  <c r="T28" i="7"/>
  <c r="S28" i="7"/>
  <c r="U27" i="7"/>
  <c r="T27" i="7"/>
  <c r="S27" i="7"/>
  <c r="U26" i="7"/>
  <c r="T26" i="7"/>
  <c r="S26" i="7"/>
  <c r="U25" i="7"/>
  <c r="T25" i="7"/>
  <c r="S25" i="7"/>
  <c r="U24" i="7"/>
  <c r="T24" i="7"/>
  <c r="S24" i="7"/>
  <c r="U23" i="7"/>
  <c r="T23" i="7"/>
  <c r="S23" i="7"/>
  <c r="U22" i="7"/>
  <c r="T22" i="7"/>
  <c r="S22" i="7"/>
  <c r="U21" i="7"/>
  <c r="T21" i="7"/>
  <c r="S21" i="7"/>
  <c r="U20" i="7"/>
  <c r="T20" i="7"/>
  <c r="S20" i="7"/>
  <c r="U19" i="7"/>
  <c r="T19" i="7"/>
  <c r="S19" i="7"/>
  <c r="U18" i="7"/>
  <c r="T18" i="7"/>
  <c r="S18" i="7"/>
  <c r="U17" i="7"/>
  <c r="T17" i="7"/>
  <c r="S17" i="7"/>
  <c r="U16" i="7"/>
  <c r="T16" i="7"/>
  <c r="S16" i="7"/>
  <c r="U15" i="7"/>
  <c r="T15" i="7"/>
  <c r="S15" i="7"/>
  <c r="U14" i="7"/>
  <c r="T14" i="7"/>
  <c r="S14" i="7"/>
  <c r="U13" i="7"/>
  <c r="T13" i="7"/>
  <c r="S13" i="7"/>
  <c r="U12" i="7"/>
  <c r="T12" i="7"/>
  <c r="S12" i="7"/>
  <c r="U11" i="7"/>
  <c r="T11" i="7"/>
  <c r="S11" i="7"/>
  <c r="U10" i="7"/>
  <c r="T10" i="7"/>
  <c r="S10" i="7"/>
  <c r="U9" i="7"/>
  <c r="T9" i="7"/>
  <c r="S9" i="7"/>
  <c r="U8" i="7"/>
  <c r="T8" i="7"/>
  <c r="S8" i="7"/>
  <c r="U7" i="7"/>
  <c r="T7" i="7"/>
  <c r="S7" i="7"/>
  <c r="U6" i="7"/>
  <c r="T6" i="7"/>
  <c r="S6" i="7"/>
  <c r="U5" i="7"/>
  <c r="S5" i="7"/>
  <c r="T5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T33" i="8" l="1"/>
  <c r="U33" i="8"/>
  <c r="AB31" i="8"/>
  <c r="W31" i="8"/>
  <c r="T32" i="8"/>
  <c r="U32" i="8"/>
  <c r="L82" i="6"/>
  <c r="L81" i="6"/>
  <c r="L80" i="6"/>
  <c r="L79" i="6"/>
  <c r="L74" i="6"/>
  <c r="L63" i="6"/>
  <c r="L61" i="6"/>
  <c r="L57" i="6"/>
  <c r="L55" i="6"/>
  <c r="L53" i="6"/>
  <c r="L47" i="6"/>
  <c r="L37" i="6"/>
  <c r="J84" i="6"/>
  <c r="K84" i="6" s="1"/>
  <c r="L84" i="6" s="1"/>
  <c r="J83" i="6"/>
  <c r="K83" i="6" s="1"/>
  <c r="L83" i="6" s="1"/>
  <c r="J82" i="6"/>
  <c r="K82" i="6" s="1"/>
  <c r="K81" i="6"/>
  <c r="J81" i="6"/>
  <c r="J80" i="6"/>
  <c r="K80" i="6" s="1"/>
  <c r="J79" i="6"/>
  <c r="K79" i="6" s="1"/>
  <c r="J78" i="6"/>
  <c r="K78" i="6" s="1"/>
  <c r="L78" i="6" s="1"/>
  <c r="J77" i="6"/>
  <c r="K77" i="6" s="1"/>
  <c r="L77" i="6" s="1"/>
  <c r="J76" i="6"/>
  <c r="K76" i="6" s="1"/>
  <c r="L76" i="6" s="1"/>
  <c r="J75" i="6"/>
  <c r="K75" i="6" s="1"/>
  <c r="L75" i="6" s="1"/>
  <c r="J74" i="6"/>
  <c r="K74" i="6" s="1"/>
  <c r="J73" i="6"/>
  <c r="K73" i="6" s="1"/>
  <c r="L73" i="6" s="1"/>
  <c r="J72" i="6"/>
  <c r="K72" i="6" s="1"/>
  <c r="L72" i="6" s="1"/>
  <c r="J71" i="6"/>
  <c r="K71" i="6" s="1"/>
  <c r="L71" i="6" s="1"/>
  <c r="J70" i="6"/>
  <c r="K70" i="6" s="1"/>
  <c r="L70" i="6" s="1"/>
  <c r="J69" i="6"/>
  <c r="K69" i="6" s="1"/>
  <c r="L69" i="6" s="1"/>
  <c r="J68" i="6"/>
  <c r="K68" i="6" s="1"/>
  <c r="L68" i="6" s="1"/>
  <c r="J67" i="6"/>
  <c r="K67" i="6" s="1"/>
  <c r="L67" i="6" s="1"/>
  <c r="J66" i="6"/>
  <c r="K66" i="6" s="1"/>
  <c r="L66" i="6" s="1"/>
  <c r="J65" i="6"/>
  <c r="K65" i="6" s="1"/>
  <c r="L65" i="6" s="1"/>
  <c r="J64" i="6"/>
  <c r="K64" i="6" s="1"/>
  <c r="L64" i="6" s="1"/>
  <c r="J63" i="6"/>
  <c r="K63" i="6" s="1"/>
  <c r="J62" i="6"/>
  <c r="K62" i="6" s="1"/>
  <c r="L62" i="6" s="1"/>
  <c r="J61" i="6"/>
  <c r="K61" i="6" s="1"/>
  <c r="J60" i="6"/>
  <c r="K60" i="6" s="1"/>
  <c r="L60" i="6" s="1"/>
  <c r="J59" i="6"/>
  <c r="K59" i="6" s="1"/>
  <c r="L59" i="6" s="1"/>
  <c r="J58" i="6"/>
  <c r="K58" i="6" s="1"/>
  <c r="L58" i="6" s="1"/>
  <c r="J57" i="6"/>
  <c r="K57" i="6" s="1"/>
  <c r="J56" i="6"/>
  <c r="K56" i="6" s="1"/>
  <c r="L56" i="6" s="1"/>
  <c r="J55" i="6"/>
  <c r="K55" i="6" s="1"/>
  <c r="J54" i="6"/>
  <c r="K54" i="6" s="1"/>
  <c r="L54" i="6" s="1"/>
  <c r="J53" i="6"/>
  <c r="K53" i="6" s="1"/>
  <c r="J52" i="6"/>
  <c r="K52" i="6" s="1"/>
  <c r="L52" i="6" s="1"/>
  <c r="J51" i="6"/>
  <c r="K51" i="6" s="1"/>
  <c r="L51" i="6" s="1"/>
  <c r="J50" i="6"/>
  <c r="K50" i="6" s="1"/>
  <c r="L50" i="6" s="1"/>
  <c r="J49" i="6"/>
  <c r="K49" i="6" s="1"/>
  <c r="L49" i="6" s="1"/>
  <c r="J48" i="6"/>
  <c r="K48" i="6" s="1"/>
  <c r="L48" i="6" s="1"/>
  <c r="J47" i="6"/>
  <c r="K47" i="6" s="1"/>
  <c r="J46" i="6"/>
  <c r="K46" i="6" s="1"/>
  <c r="L46" i="6" s="1"/>
  <c r="J45" i="6"/>
  <c r="K45" i="6" s="1"/>
  <c r="L45" i="6" s="1"/>
  <c r="J44" i="6"/>
  <c r="K44" i="6" s="1"/>
  <c r="L44" i="6" s="1"/>
  <c r="J43" i="6"/>
  <c r="K43" i="6" s="1"/>
  <c r="L43" i="6" s="1"/>
  <c r="J42" i="6"/>
  <c r="K42" i="6" s="1"/>
  <c r="L42" i="6" s="1"/>
  <c r="J41" i="6"/>
  <c r="K41" i="6" s="1"/>
  <c r="L41" i="6" s="1"/>
  <c r="J40" i="6"/>
  <c r="K40" i="6" s="1"/>
  <c r="L40" i="6" s="1"/>
  <c r="J39" i="6"/>
  <c r="K39" i="6" s="1"/>
  <c r="L39" i="6" s="1"/>
  <c r="J38" i="6"/>
  <c r="K38" i="6" s="1"/>
  <c r="L38" i="6" s="1"/>
  <c r="J37" i="6"/>
  <c r="K37" i="6" s="1"/>
  <c r="J36" i="6"/>
  <c r="K36" i="6" s="1"/>
  <c r="L36" i="6" s="1"/>
  <c r="K35" i="6"/>
  <c r="L35" i="6" s="1"/>
  <c r="J35" i="6"/>
  <c r="K34" i="6"/>
  <c r="L34" i="6" s="1"/>
  <c r="J34" i="6"/>
  <c r="J33" i="6"/>
  <c r="K33" i="6" s="1"/>
  <c r="L33" i="6" s="1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F19" i="3"/>
  <c r="G32" i="3"/>
  <c r="D33" i="5" s="1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G3" i="3"/>
  <c r="G2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2" i="3"/>
  <c r="AB32" i="8" l="1"/>
  <c r="W32" i="8"/>
  <c r="AB33" i="8"/>
  <c r="W33" i="8"/>
</calcChain>
</file>

<file path=xl/sharedStrings.xml><?xml version="1.0" encoding="utf-8"?>
<sst xmlns="http://schemas.openxmlformats.org/spreadsheetml/2006/main" count="1166" uniqueCount="373">
  <si>
    <t>SI JACOBSON MANUFACTURING</t>
  </si>
  <si>
    <t>BOM Instructions</t>
  </si>
  <si>
    <t xml:space="preserve"> </t>
  </si>
  <si>
    <t>Order</t>
  </si>
  <si>
    <t>Name</t>
  </si>
  <si>
    <t>Description</t>
  </si>
  <si>
    <t>Details</t>
  </si>
  <si>
    <t>URL</t>
  </si>
  <si>
    <t>1</t>
  </si>
  <si>
    <t>Cutting Dept.</t>
  </si>
  <si>
    <t>Auto Cutter</t>
  </si>
  <si>
    <t>25JAM001_Tenjam Headrest_Cut File.Project</t>
  </si>
  <si>
    <t>2</t>
  </si>
  <si>
    <t>Sewing Dept.</t>
  </si>
  <si>
    <t>Pre-Step / Cut Velcro</t>
  </si>
  <si>
    <t>Cut the Velcro pieces. 
Corta las piezas de velcro.</t>
  </si>
  <si>
    <t>3</t>
  </si>
  <si>
    <t>Pre-Step / Sew flag on panel</t>
  </si>
  <si>
    <t>Sew the USA flag onto the fabric panel.
Cose la bandera de Estados Unidos al panel de tela.</t>
  </si>
  <si>
    <t>4</t>
  </si>
  <si>
    <t>A1. Small Velcro Pocket / Hem short edge</t>
  </si>
  <si>
    <t xml:space="preserve">Hem the short edges
 Dobladillar los bordes cortos
</t>
  </si>
  <si>
    <t>5</t>
  </si>
  <si>
    <t>A2. Small Velcro Pocket / Sew hook velcro</t>
  </si>
  <si>
    <t>Sew on the hook Velcro. 
Cose el velcro de gancho</t>
  </si>
  <si>
    <t>6</t>
  </si>
  <si>
    <t>B1. Connector Strap / Sew the panel together along the long sides</t>
  </si>
  <si>
    <t xml:space="preserve">Sew the panel together along the long sides
Cose los paneles juntos a lo largo de los lados largos.
</t>
  </si>
  <si>
    <t>7</t>
  </si>
  <si>
    <t>B2. Connector Strap / Turn inside out</t>
  </si>
  <si>
    <t>Turn inside-out
Dale la vuelta</t>
  </si>
  <si>
    <t>8</t>
  </si>
  <si>
    <t>B3. Connector Strap / Sew the 2 long sides of the connector Strap  panel</t>
  </si>
  <si>
    <t xml:space="preserve"> Sew the 2 long sides of the connector strap panel 
Cose los dos lados largos del panel de conexión.</t>
  </si>
  <si>
    <t>9</t>
  </si>
  <si>
    <t>B4. Connector Strap /Sew the connector strap to the small Velcro pocket, add the loop Velcro.</t>
  </si>
  <si>
    <t xml:space="preserve">Sew the connector strap to the small Velcro pocket, add the loop Velcro.
Cose la correa de conexión al pequeño bolsillo de velcro y añade la tira de velcro.
</t>
  </si>
  <si>
    <t>10</t>
  </si>
  <si>
    <t>B5. Connector Strap / Close the sides of the small Velcro pocket.</t>
  </si>
  <si>
    <t>Close the sides of the small Velcro pocket.
Cierra los lados del pequeño bolsillo de velcro.</t>
  </si>
  <si>
    <t>11</t>
  </si>
  <si>
    <t>B6. Connector Strap / Cut threads, Turn right side out, Cut corners</t>
  </si>
  <si>
    <t>Cut threads, Turn right side out, Cut corners 
Corta los hilos, dale la vuelta al derecho, corta las esquinas.</t>
  </si>
  <si>
    <t>12</t>
  </si>
  <si>
    <t>C1. Hanging Big Pocket /  Hem one short side</t>
  </si>
  <si>
    <t xml:space="preserve"> Hem one short side
</t>
  </si>
  <si>
    <t>January 14, 2026 8:42:15 AM CST</t>
  </si>
  <si>
    <t xml:space="preserve">Page 1 of </t>
  </si>
  <si>
    <t xml:space="preserve"> Dobladillar un lado corto
</t>
  </si>
  <si>
    <t>13</t>
  </si>
  <si>
    <t>C2. Hanging Big Pocket / Fold to the marking, and close both sides</t>
  </si>
  <si>
    <t>Fold to the marking, and close both sides 
Doblar hasta la marca y cerrar ambos lados</t>
  </si>
  <si>
    <t>14</t>
  </si>
  <si>
    <t>C3. Hanging Big Pocket / Add stitching to the lower corners to create volume</t>
  </si>
  <si>
    <t>Add stitching to the lower corners to create volume
Añadir costuras en las esquinas inferiores para dar volumen</t>
  </si>
  <si>
    <t>15</t>
  </si>
  <si>
    <t>C4. Hanging Big Pocket / Turn right side out</t>
  </si>
  <si>
    <t>Turn right side out 
darle la vuelta</t>
  </si>
  <si>
    <t>16</t>
  </si>
  <si>
    <t>C5. Hanging Big Pocket / Add straight single-stitching to the top of the pocket</t>
  </si>
  <si>
    <t>Add straight single-stitching to the top of the pocket
Añadir una costura recta simple en la parte superior del bolsillo</t>
  </si>
  <si>
    <t>17</t>
  </si>
  <si>
    <t>C6. Hanging Big Pocket / Sew the center stitch</t>
  </si>
  <si>
    <t>Sew the center stitch
Coser la costura central</t>
  </si>
  <si>
    <t>18</t>
  </si>
  <si>
    <t>C7. Bartack / Add the bartack to the top of the hanging big pocket</t>
  </si>
  <si>
    <t>Add the bartack to the top of the hanging big pocket
Añada la puntada de refuerzo a la parte superior del bolsillo grande colgante.</t>
  </si>
  <si>
    <t>19</t>
  </si>
  <si>
    <t>C8. Hanging Big Pocket / Stitch the connector strap to the large pocket</t>
  </si>
  <si>
    <t>Stitch the connector strap to the large pocket
Coser la correa de conexión al bolsillo grande</t>
  </si>
  <si>
    <t>20</t>
  </si>
  <si>
    <t>D1. Cushion Cover /Sew the zipper onto the left panel with USA flag.</t>
  </si>
  <si>
    <t xml:space="preserve">Sew the zipper onto the left panel with USA flag.
Cose la cremallera al panel izquierdo con la bandera de Estados Unidos.
</t>
  </si>
  <si>
    <t>21</t>
  </si>
  <si>
    <t>D2. Cushion Cover / Sew the zipper with hemming foot onto the right panel without the flag</t>
  </si>
  <si>
    <t>Sew the zipper with hemming foot onto the right panel without the flag
Cose la cremallera con el prensatelas para dobladillos en el panel derecho, sin la bandera.</t>
  </si>
  <si>
    <t xml:space="preserve">Page 2 of </t>
  </si>
  <si>
    <t>22</t>
  </si>
  <si>
    <t>D3. Cushion Cover / Cut extra material off add the zipper pull</t>
  </si>
  <si>
    <t>Cut extra material off add the zipper pull
Corta el material sobrante y añade el tirador de la cremallera.</t>
  </si>
  <si>
    <t>23</t>
  </si>
  <si>
    <t>D4. Cushion Cover / Add stitch to both zipper ends</t>
  </si>
  <si>
    <t>Add stitch to both zipper ends 
Añada una puntada a ambos extremos de la cremallera.</t>
  </si>
  <si>
    <t>24</t>
  </si>
  <si>
    <t>D5. Cushion Cover /  Sew the long sides closed</t>
  </si>
  <si>
    <t xml:space="preserve"> Sew the long sides closed
 Cose los lados largos.</t>
  </si>
  <si>
    <t>25</t>
  </si>
  <si>
    <t>D6.Cushion Cover / Sew front panel with pockets to zipper panel</t>
  </si>
  <si>
    <t>Sew front panel with pockets to zipper panel
Cose el panel frontal con los bolsillos al panel de la cremallera.</t>
  </si>
  <si>
    <t>26</t>
  </si>
  <si>
    <t>D7. Cushion Cover / Sew on the side panels</t>
  </si>
  <si>
    <t xml:space="preserve"> Sew on the side panels
 Cose los paneles laterales.</t>
  </si>
  <si>
    <t>27</t>
  </si>
  <si>
    <t>D8. Cushion Cover / Turn right side out</t>
  </si>
  <si>
    <t>Turn right side out 
Dale la vuelta</t>
  </si>
  <si>
    <t>28</t>
  </si>
  <si>
    <t>Inspection</t>
  </si>
  <si>
    <t>A. Inspection Quality / Clean and inspect for any loose threads, missing, flag, ect.</t>
  </si>
  <si>
    <t xml:space="preserve">Clean and inspect for any loose threads, missing, flag, ect.
Limpie e inspeccione para detectar hilos sueltos, piezas faltantes, banderas, etc.
</t>
  </si>
  <si>
    <t>29</t>
  </si>
  <si>
    <t>B. Inspection Insert Foam / Insert foam piece into the headrest.</t>
  </si>
  <si>
    <t xml:space="preserve">Insert foam piece into the headrest.
Inserte la pieza de espuma en el reposacabezas.
</t>
  </si>
  <si>
    <t>30</t>
  </si>
  <si>
    <t>C. Inspection Bag / Individually bagged into poly bag S-1997 Size: 9 x 24</t>
  </si>
  <si>
    <t>Individually bagged into poly bag S-1997 Size: 9 x 24 
Empaquetado individualmente en bolsa de polietileno S-1997. Tamaño: 9 x 24</t>
  </si>
  <si>
    <t>31</t>
  </si>
  <si>
    <t>D. Inspection Pack / Pack into cartons  S-4739 Size: 20 x 24 x 16  Pack 3 row of 8 for a total of 24 pieces per carton</t>
  </si>
  <si>
    <t xml:space="preserve">Pack into cartons 
S-4739 Size: 20 x 24 x 16
Pack 3 row of 8 for a total of 24 pieces per carton
Empaquetado en cajas de cartón
S-4739. Tamaño: 20 x 24 x 16
</t>
  </si>
  <si>
    <t xml:space="preserve">Page 3 of </t>
  </si>
  <si>
    <t xml:space="preserve">Se colocan 3 filas de 8 unidades, para un total de 24 piezas por caja.
</t>
  </si>
  <si>
    <t xml:space="preserve">Page 4 of </t>
  </si>
  <si>
    <t>Step Number</t>
  </si>
  <si>
    <t>Department</t>
  </si>
  <si>
    <t>Step</t>
  </si>
  <si>
    <t>Dependency</t>
  </si>
  <si>
    <t>Dependency Type</t>
  </si>
  <si>
    <t>Task ID</t>
  </si>
  <si>
    <t>Category</t>
  </si>
  <si>
    <t>Component</t>
  </si>
  <si>
    <t>Task</t>
  </si>
  <si>
    <t>Time (sec/piece)</t>
  </si>
  <si>
    <t>Equipment Code</t>
  </si>
  <si>
    <t xml:space="preserve">Pre-Step </t>
  </si>
  <si>
    <t xml:space="preserve"> Cut Velcro</t>
  </si>
  <si>
    <t xml:space="preserve"> Sew flag on panel</t>
  </si>
  <si>
    <t xml:space="preserve">A1. Small Velcro Pocket </t>
  </si>
  <si>
    <t xml:space="preserve"> Hem short edge</t>
  </si>
  <si>
    <t xml:space="preserve">A2. Small Velcro Pocket </t>
  </si>
  <si>
    <t xml:space="preserve"> Sew hook velcro</t>
  </si>
  <si>
    <t xml:space="preserve">B1. Connector Strap </t>
  </si>
  <si>
    <t xml:space="preserve"> Sew the panel together along the long sides</t>
  </si>
  <si>
    <t xml:space="preserve">B2. Connector Strap </t>
  </si>
  <si>
    <t xml:space="preserve"> Turn inside out</t>
  </si>
  <si>
    <t xml:space="preserve">B3. Connector Strap </t>
  </si>
  <si>
    <t xml:space="preserve"> Sew the 2 long sides of the connector Strap  panel</t>
  </si>
  <si>
    <t xml:space="preserve">B4. Connector Strap </t>
  </si>
  <si>
    <t>Sew the connector strap to the small Velcro pocket, add the loop Velcro.</t>
  </si>
  <si>
    <t xml:space="preserve">B5. Connector Strap </t>
  </si>
  <si>
    <t xml:space="preserve"> Close the sides of the small Velcro pocket.</t>
  </si>
  <si>
    <t xml:space="preserve">B6. Connector Strap </t>
  </si>
  <si>
    <t xml:space="preserve"> Cut threads, Turn right side out, Cut corners</t>
  </si>
  <si>
    <t xml:space="preserve">C1. Hanging Big Pocket </t>
  </si>
  <si>
    <t xml:space="preserve">  Hem one short side</t>
  </si>
  <si>
    <t xml:space="preserve">C2. Hanging Big Pocket </t>
  </si>
  <si>
    <t xml:space="preserve"> Fold to the marking, and close both sides</t>
  </si>
  <si>
    <t xml:space="preserve">C3. Hanging Big Pocket </t>
  </si>
  <si>
    <t xml:space="preserve"> Add stitching to the lower corners to create volume</t>
  </si>
  <si>
    <t xml:space="preserve">C4. Hanging Big Pocket </t>
  </si>
  <si>
    <t xml:space="preserve"> Turn right side out</t>
  </si>
  <si>
    <t xml:space="preserve">C5. Hanging Big Pocket </t>
  </si>
  <si>
    <t xml:space="preserve"> Add straight single-stitching to the top of the pocket</t>
  </si>
  <si>
    <t xml:space="preserve">C6. Hanging Big Pocket </t>
  </si>
  <si>
    <t xml:space="preserve"> Sew the center stitch</t>
  </si>
  <si>
    <t xml:space="preserve">C7. Bartack </t>
  </si>
  <si>
    <t xml:space="preserve"> Add the bartack to the top of the hanging big pocket</t>
  </si>
  <si>
    <t xml:space="preserve">C8. Hanging Big Pocket </t>
  </si>
  <si>
    <t xml:space="preserve"> Stitch the connector strap to the large pocket</t>
  </si>
  <si>
    <t xml:space="preserve">D1. Cushion Cover </t>
  </si>
  <si>
    <t>Sew the zipper onto the left panel with USA flag.</t>
  </si>
  <si>
    <t xml:space="preserve">D2. Cushion Cover </t>
  </si>
  <si>
    <t xml:space="preserve"> Sew the zipper with hemming foot onto the right panel without the flag</t>
  </si>
  <si>
    <t xml:space="preserve">D3. Cushion Cover </t>
  </si>
  <si>
    <t xml:space="preserve"> Cut extra material off add the zipper pull</t>
  </si>
  <si>
    <t xml:space="preserve">D4. Cushion Cover </t>
  </si>
  <si>
    <t xml:space="preserve"> Add stitch to both zipper ends</t>
  </si>
  <si>
    <t xml:space="preserve">D5. Cushion Cover </t>
  </si>
  <si>
    <t xml:space="preserve">  Sew the long sides closed</t>
  </si>
  <si>
    <t xml:space="preserve">D6.Cushion Cover </t>
  </si>
  <si>
    <t xml:space="preserve"> Sew front panel with pockets to zipper panel</t>
  </si>
  <si>
    <t xml:space="preserve">D7. Cushion Cover </t>
  </si>
  <si>
    <t xml:space="preserve"> Sew on the side panels</t>
  </si>
  <si>
    <t xml:space="preserve">D8. Cushion Cover </t>
  </si>
  <si>
    <t xml:space="preserve">A. Inspection Quality </t>
  </si>
  <si>
    <t xml:space="preserve"> Clean and inspect for any loose threads, missing, flag, ect.</t>
  </si>
  <si>
    <t xml:space="preserve">B. Inspection Insert Foam </t>
  </si>
  <si>
    <t xml:space="preserve"> Insert foam piece into the headrest.</t>
  </si>
  <si>
    <t xml:space="preserve">C. Inspection Bag </t>
  </si>
  <si>
    <t xml:space="preserve"> Individually bagged into poly bag S-1997 Size: 9 x 24</t>
  </si>
  <si>
    <t xml:space="preserve">D. Inspection Pack </t>
  </si>
  <si>
    <t>CFA1</t>
  </si>
  <si>
    <t>CTA1</t>
  </si>
  <si>
    <t>PSA1</t>
  </si>
  <si>
    <t>SA1</t>
  </si>
  <si>
    <t>Trim</t>
  </si>
  <si>
    <t>SA2</t>
  </si>
  <si>
    <t>SB1</t>
  </si>
  <si>
    <t>SB2</t>
  </si>
  <si>
    <t>SB3</t>
  </si>
  <si>
    <t>SB4</t>
  </si>
  <si>
    <t>SB5</t>
  </si>
  <si>
    <t>SB6</t>
  </si>
  <si>
    <t>SC1</t>
  </si>
  <si>
    <t>SC2</t>
  </si>
  <si>
    <t>SC3</t>
  </si>
  <si>
    <t>SC4</t>
  </si>
  <si>
    <t>SC5</t>
  </si>
  <si>
    <t>FB Task ID</t>
  </si>
  <si>
    <t>SC6</t>
  </si>
  <si>
    <t>SC7</t>
  </si>
  <si>
    <t>SC8</t>
  </si>
  <si>
    <t>SD1</t>
  </si>
  <si>
    <t>SD2</t>
  </si>
  <si>
    <t>SD3</t>
  </si>
  <si>
    <t>SD4</t>
  </si>
  <si>
    <t>SD5</t>
  </si>
  <si>
    <t>SD6</t>
  </si>
  <si>
    <t>SD7</t>
  </si>
  <si>
    <t>SD8</t>
  </si>
  <si>
    <t>IFA</t>
  </si>
  <si>
    <t>IFB</t>
  </si>
  <si>
    <t>IFC</t>
  </si>
  <si>
    <t>IFD</t>
  </si>
  <si>
    <t>Prep Work</t>
  </si>
  <si>
    <t>Fabric</t>
  </si>
  <si>
    <t>FINISH</t>
  </si>
  <si>
    <t>START</t>
  </si>
  <si>
    <t>CFA1, CTA1</t>
  </si>
  <si>
    <t>CFA1, CTA1, PSA1</t>
  </si>
  <si>
    <t>SD1, SD2</t>
  </si>
  <si>
    <t>Equipment Count</t>
  </si>
  <si>
    <t>Work Code</t>
  </si>
  <si>
    <t>Work Type</t>
  </si>
  <si>
    <t>Obet</t>
  </si>
  <si>
    <t>Temp - Noe</t>
  </si>
  <si>
    <t>Temp - Fransisco</t>
  </si>
  <si>
    <t>Pilar</t>
  </si>
  <si>
    <t>Patty</t>
  </si>
  <si>
    <t>Oralia S</t>
  </si>
  <si>
    <t>Norma</t>
  </si>
  <si>
    <t>Oralia R</t>
  </si>
  <si>
    <t>Maricella</t>
  </si>
  <si>
    <t>Angelica</t>
  </si>
  <si>
    <t>Jackie</t>
  </si>
  <si>
    <t>Cyndi</t>
  </si>
  <si>
    <t>Julieta</t>
  </si>
  <si>
    <t>CTL</t>
  </si>
  <si>
    <t>Cutting - Team Lead</t>
  </si>
  <si>
    <t>Y</t>
  </si>
  <si>
    <t>CMA</t>
  </si>
  <si>
    <t>Cutting - Manual</t>
  </si>
  <si>
    <t>CA</t>
  </si>
  <si>
    <t>Cutting - Automated Skilled</t>
  </si>
  <si>
    <t>CAU</t>
  </si>
  <si>
    <t>Cutting - Automated Unskilled</t>
  </si>
  <si>
    <t>CMIS</t>
  </si>
  <si>
    <t>Cutting - Miscellaneous</t>
  </si>
  <si>
    <t>ESU</t>
  </si>
  <si>
    <t>Embellishment Silkscreening - UV</t>
  </si>
  <si>
    <t>ESH</t>
  </si>
  <si>
    <t>Embellishment Silkscreening - Heat</t>
  </si>
  <si>
    <t>ESC</t>
  </si>
  <si>
    <t>Embellishment Silkscreening - Catching</t>
  </si>
  <si>
    <t>ASTL</t>
  </si>
  <si>
    <t>Auto Sewing - Team Lead</t>
  </si>
  <si>
    <t>ASL</t>
  </si>
  <si>
    <t>Auto Sewing - Large</t>
  </si>
  <si>
    <t>ASM</t>
  </si>
  <si>
    <t>Auto Sewing - Medium</t>
  </si>
  <si>
    <t>ASS</t>
  </si>
  <si>
    <t>Auto Sewing - Small</t>
  </si>
  <si>
    <t>STL</t>
  </si>
  <si>
    <t>Sewing - Team Lead</t>
  </si>
  <si>
    <t>STS</t>
  </si>
  <si>
    <t>Sewing - Top Stitch Single Needle</t>
  </si>
  <si>
    <t>STD</t>
  </si>
  <si>
    <t>Sewing - Top Stitch Double Needle</t>
  </si>
  <si>
    <t>STSZF</t>
  </si>
  <si>
    <t>Sewing - Top Stitch Single Needle Zipper Foot</t>
  </si>
  <si>
    <t>SBT</t>
  </si>
  <si>
    <t>Sewing - Bar Tac</t>
  </si>
  <si>
    <t>SZZ</t>
  </si>
  <si>
    <t>Sewing - Zigzag</t>
  </si>
  <si>
    <t>FR</t>
  </si>
  <si>
    <t>Finishing - Rivet</t>
  </si>
  <si>
    <t>FG</t>
  </si>
  <si>
    <t>Finishing - Grommet</t>
  </si>
  <si>
    <t>FCL</t>
  </si>
  <si>
    <t>Finishing - cleanup</t>
  </si>
  <si>
    <t>QCO</t>
  </si>
  <si>
    <t>Quality Control Outgoing</t>
  </si>
  <si>
    <t>PAC</t>
  </si>
  <si>
    <t>Packing</t>
  </si>
  <si>
    <t>WRE</t>
  </si>
  <si>
    <t>Warehouse - Receiving</t>
  </si>
  <si>
    <t>WIQC</t>
  </si>
  <si>
    <t>Warehouse - Incoming Quality Control</t>
  </si>
  <si>
    <t>WFL</t>
  </si>
  <si>
    <t>Warehouse - Forklift</t>
  </si>
  <si>
    <t>WOP</t>
  </si>
  <si>
    <t>Warehouse - Order Picking</t>
  </si>
  <si>
    <t>WCC</t>
  </si>
  <si>
    <t>Warehouse - Cycle Counting</t>
  </si>
  <si>
    <t>WS</t>
  </si>
  <si>
    <t>Warehouse - Shipping</t>
  </si>
  <si>
    <t>100 Signifies equipment is not needed</t>
  </si>
  <si>
    <t>Automated Cutting requires 2 people…Skilled Operator and Unskilled</t>
  </si>
  <si>
    <t>Embellishment Silk Screen requires 2 people 1 skilled and 1 unskilled</t>
  </si>
  <si>
    <t>If work is being  done in a particular department, Team lead has to be there.  For sewing, team lead is supervising, helping, training, etc.  Not sewing</t>
  </si>
  <si>
    <t>SA2, SB3</t>
  </si>
  <si>
    <t>Cut Fabric</t>
  </si>
  <si>
    <t xml:space="preserve"> Pack into cartons </t>
  </si>
  <si>
    <t>FB Task #</t>
  </si>
  <si>
    <t>Start Time</t>
  </si>
  <si>
    <t>Finish Time</t>
  </si>
  <si>
    <t>Completed Units</t>
  </si>
  <si>
    <t>Cindy</t>
  </si>
  <si>
    <t>Prep</t>
  </si>
  <si>
    <t>D1</t>
  </si>
  <si>
    <t>D2</t>
  </si>
  <si>
    <t>B2</t>
  </si>
  <si>
    <t>Noe</t>
  </si>
  <si>
    <t>Fransico</t>
  </si>
  <si>
    <t>B1</t>
  </si>
  <si>
    <t>B3</t>
  </si>
  <si>
    <t>A1</t>
  </si>
  <si>
    <t>Date</t>
  </si>
  <si>
    <t>C1</t>
  </si>
  <si>
    <t>C2</t>
  </si>
  <si>
    <t>A2</t>
  </si>
  <si>
    <t>B4</t>
  </si>
  <si>
    <t>B5</t>
  </si>
  <si>
    <t>Maricela</t>
  </si>
  <si>
    <t>C3</t>
  </si>
  <si>
    <t>C5</t>
  </si>
  <si>
    <t>C6</t>
  </si>
  <si>
    <t>C8</t>
  </si>
  <si>
    <t>C7</t>
  </si>
  <si>
    <t>B6</t>
  </si>
  <si>
    <t>D3</t>
  </si>
  <si>
    <t>D4</t>
  </si>
  <si>
    <t>C4</t>
  </si>
  <si>
    <t>Product</t>
  </si>
  <si>
    <t>Tenjam - Blue</t>
  </si>
  <si>
    <t>Tenjam - White</t>
  </si>
  <si>
    <t>Elapse Time</t>
  </si>
  <si>
    <t>Sew Time</t>
  </si>
  <si>
    <t>Rate/Hour</t>
  </si>
  <si>
    <t>00-Prod Dev</t>
  </si>
  <si>
    <t>Tenjam</t>
  </si>
  <si>
    <t>Column Labels</t>
  </si>
  <si>
    <t>Grand Total</t>
  </si>
  <si>
    <t>Row Labels</t>
  </si>
  <si>
    <t>Average of Rate/Hour</t>
  </si>
  <si>
    <t>Sum of Completed Units</t>
  </si>
  <si>
    <t>(Multiple Items)</t>
  </si>
  <si>
    <t>TOTAL</t>
  </si>
  <si>
    <t>Names</t>
  </si>
  <si>
    <t>Hours Required</t>
  </si>
  <si>
    <t># of People</t>
  </si>
  <si>
    <t>Day Output</t>
  </si>
  <si>
    <t>Total Output</t>
  </si>
  <si>
    <t>Order Quantity</t>
  </si>
  <si>
    <t>Balance</t>
  </si>
  <si>
    <t>Actual Avg (pcs/hr)</t>
  </si>
  <si>
    <t>Dev Avg (pcs/hr)</t>
  </si>
  <si>
    <t>Check</t>
  </si>
  <si>
    <t>Hours Dev</t>
  </si>
  <si>
    <t>Hours Actual</t>
  </si>
  <si>
    <t>Thursday - 1/15/2025</t>
  </si>
  <si>
    <t>Units to Complete</t>
  </si>
  <si>
    <t>Friday - 1/16/2025</t>
  </si>
  <si>
    <t>Saturday - 1/17/2025</t>
  </si>
  <si>
    <t>Oralia S.</t>
  </si>
  <si>
    <t>Oralia R.</t>
  </si>
  <si>
    <t>Oralia R., Oralia S.</t>
  </si>
  <si>
    <t>Maricela, Cindy</t>
  </si>
  <si>
    <t>Patty, Noe</t>
  </si>
  <si>
    <t>Pilar, Obet</t>
  </si>
  <si>
    <t>Angelica, Oralia R</t>
  </si>
  <si>
    <t>Jackie, Maricella</t>
  </si>
  <si>
    <t>Julieta, Obet</t>
  </si>
  <si>
    <t>All</t>
  </si>
  <si>
    <t>All 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</si>
</sst>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_);[Red]\(#,##0.0000\)"/>
    <numFmt numFmtId="165" formatCode="#,##0.0_);[Red]\(#,##0.0\)"/>
    <numFmt numFmtId="166" formatCode="#,##0.0"/>
    <numFmt numFmtId="168" formatCode="[$-409]h:mm\ AM/PM;@"/>
    <numFmt numFmtId="170" formatCode="0.0000"/>
  </numFmts>
  <fonts count="19">
    <font>
      <sz val="10"/>
      <name val="Arial"/>
    </font>
    <font>
      <sz val="10"/>
      <color indexed="8"/>
      <name val="SansSerif"/>
    </font>
    <font>
      <b/>
      <sz val="13"/>
      <color indexed="8"/>
      <name val="Open Sans"/>
    </font>
    <font>
      <b/>
      <sz val="16"/>
      <color indexed="8"/>
      <name val="Open Sans"/>
    </font>
    <font>
      <sz val="10"/>
      <color indexed="8"/>
      <name val="Open Sans"/>
    </font>
    <font>
      <b/>
      <sz val="11"/>
      <color indexed="8"/>
      <name val="Open Sans"/>
    </font>
    <font>
      <u/>
      <sz val="10"/>
      <color indexed="18"/>
      <name val="Open Sans"/>
    </font>
    <font>
      <sz val="10"/>
      <color indexed="23"/>
      <name val="SansSerif"/>
    </font>
    <font>
      <sz val="9"/>
      <color indexed="8"/>
      <name val="Open Sans"/>
    </font>
    <font>
      <sz val="10"/>
      <name val="Arial"/>
      <family val="2"/>
    </font>
    <font>
      <b/>
      <sz val="11"/>
      <color theme="1"/>
      <name val="Spinnaker"/>
    </font>
    <font>
      <sz val="11"/>
      <color theme="1"/>
      <name val="Spinnaker"/>
    </font>
    <font>
      <sz val="11"/>
      <name val="Spinnaker"/>
    </font>
    <font>
      <b/>
      <sz val="10"/>
      <name val="Arial"/>
      <family val="2"/>
    </font>
    <font>
      <b/>
      <sz val="10"/>
      <name val="Spinnaker"/>
    </font>
    <font>
      <sz val="10"/>
      <name val="Spinnaker"/>
    </font>
    <font>
      <sz val="9"/>
      <name val="Spinnaker"/>
    </font>
    <font>
      <b/>
      <sz val="9"/>
      <name val="Spinnaker"/>
    </font>
    <font>
      <b/>
      <sz val="9"/>
      <color theme="1"/>
      <name val="Spinnake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dotted">
        <color indexed="2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18" fontId="15" fillId="0" borderId="0" xfId="0" applyNumberFormat="1" applyFont="1"/>
    <xf numFmtId="40" fontId="15" fillId="0" borderId="0" xfId="0" applyNumberFormat="1" applyFont="1"/>
    <xf numFmtId="164" fontId="15" fillId="0" borderId="0" xfId="0" applyNumberFormat="1" applyFont="1"/>
    <xf numFmtId="3" fontId="15" fillId="0" borderId="0" xfId="0" applyNumberFormat="1" applyFont="1"/>
    <xf numFmtId="0" fontId="4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/>
    </xf>
    <xf numFmtId="38" fontId="1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8" fontId="0" fillId="0" borderId="0" xfId="0" applyNumberFormat="1"/>
    <xf numFmtId="3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6" fillId="0" borderId="0" xfId="0" applyFont="1" applyBorder="1"/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0" xfId="0" applyFont="1" applyBorder="1"/>
    <xf numFmtId="0" fontId="17" fillId="0" borderId="8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38" fontId="16" fillId="0" borderId="3" xfId="0" applyNumberFormat="1" applyFont="1" applyBorder="1" applyAlignment="1">
      <alignment horizontal="center"/>
    </xf>
    <xf numFmtId="166" fontId="16" fillId="0" borderId="4" xfId="0" applyNumberFormat="1" applyFont="1" applyBorder="1"/>
    <xf numFmtId="168" fontId="16" fillId="0" borderId="4" xfId="0" applyNumberFormat="1" applyFont="1" applyBorder="1"/>
    <xf numFmtId="38" fontId="16" fillId="0" borderId="4" xfId="0" applyNumberFormat="1" applyFont="1" applyBorder="1"/>
    <xf numFmtId="38" fontId="16" fillId="0" borderId="5" xfId="0" applyNumberFormat="1" applyFont="1" applyBorder="1"/>
    <xf numFmtId="0" fontId="16" fillId="0" borderId="6" xfId="0" applyFont="1" applyBorder="1"/>
    <xf numFmtId="0" fontId="16" fillId="0" borderId="7" xfId="0" applyFont="1" applyBorder="1"/>
    <xf numFmtId="38" fontId="16" fillId="0" borderId="6" xfId="0" applyNumberFormat="1" applyFont="1" applyBorder="1" applyAlignment="1">
      <alignment horizontal="center"/>
    </xf>
    <xf numFmtId="166" fontId="16" fillId="0" borderId="0" xfId="0" applyNumberFormat="1" applyFont="1" applyBorder="1"/>
    <xf numFmtId="168" fontId="16" fillId="0" borderId="0" xfId="0" applyNumberFormat="1" applyFont="1" applyBorder="1"/>
    <xf numFmtId="38" fontId="16" fillId="0" borderId="0" xfId="0" applyNumberFormat="1" applyFont="1" applyBorder="1"/>
    <xf numFmtId="38" fontId="16" fillId="0" borderId="7" xfId="0" applyNumberFormat="1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38" fontId="16" fillId="0" borderId="8" xfId="0" applyNumberFormat="1" applyFont="1" applyBorder="1" applyAlignment="1">
      <alignment horizontal="center"/>
    </xf>
    <xf numFmtId="166" fontId="16" fillId="0" borderId="9" xfId="0" applyNumberFormat="1" applyFont="1" applyBorder="1"/>
    <xf numFmtId="168" fontId="16" fillId="0" borderId="9" xfId="0" applyNumberFormat="1" applyFont="1" applyBorder="1"/>
    <xf numFmtId="38" fontId="16" fillId="0" borderId="9" xfId="0" applyNumberFormat="1" applyFont="1" applyBorder="1"/>
    <xf numFmtId="38" fontId="16" fillId="0" borderId="10" xfId="0" applyNumberFormat="1" applyFont="1" applyBorder="1"/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70" fontId="16" fillId="0" borderId="0" xfId="0" applyNumberFormat="1" applyFont="1" applyBorder="1"/>
    <xf numFmtId="0" fontId="16" fillId="3" borderId="10" xfId="0" applyFont="1" applyFill="1" applyBorder="1"/>
    <xf numFmtId="0" fontId="16" fillId="3" borderId="7" xfId="0" applyFont="1" applyFill="1" applyBorder="1"/>
  </cellXfs>
  <cellStyles count="1">
    <cellStyle name="Normal" xfId="0" builtinId="0"/>
  </cellStyles>
  <dxfs count="3">
    <dxf>
      <numFmt numFmtId="6" formatCode="#,##0_);[Red]\(#,##0\)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r Hoda" refreshedDate="46036.950751041666" createdVersion="8" refreshedVersion="8" minRefreshableVersion="3" recordCount="107" xr:uid="{09EA2425-C396-B84B-A04E-0BE8C8691450}">
  <cacheSource type="worksheet">
    <worksheetSource ref="A1:L362" sheet="Production Data"/>
  </cacheSource>
  <cacheFields count="12">
    <cacheField name="Product" numFmtId="0">
      <sharedItems containsBlank="1"/>
    </cacheField>
    <cacheField name="Date" numFmtId="0">
      <sharedItems containsNonDate="0" containsDate="1" containsString="0" containsBlank="1" minDate="2026-01-01T00:00:00" maxDate="2026-01-15T00:00:00"/>
    </cacheField>
    <cacheField name="Name" numFmtId="0">
      <sharedItems containsBlank="1" count="13">
        <s v="00-Prod Dev"/>
        <s v="Angelica"/>
        <s v="Cindy"/>
        <s v="Fransico"/>
        <s v="Jackie"/>
        <s v="Julieta"/>
        <s v="Maricela"/>
        <s v="Noe"/>
        <s v="Oralia R"/>
        <s v="Patty"/>
        <s v="Pilar"/>
        <s v="Oralia S"/>
        <m/>
      </sharedItems>
    </cacheField>
    <cacheField name="Task ID" numFmtId="0">
      <sharedItems containsBlank="1" count="32">
        <s v="CFA1"/>
        <s v="CTA1"/>
        <s v="IFA"/>
        <s v="IFB"/>
        <s v="IFC"/>
        <s v="IFD"/>
        <s v="PSA1"/>
        <s v="SA1"/>
        <s v="SA2"/>
        <s v="SB1"/>
        <s v="SB2"/>
        <s v="SB3"/>
        <s v="SB4"/>
        <s v="SB5"/>
        <s v="SB6"/>
        <s v="SC1"/>
        <s v="SC2"/>
        <s v="SC3"/>
        <s v="SC4"/>
        <s v="SC5"/>
        <s v="SC6"/>
        <s v="SC7"/>
        <s v="SC8"/>
        <s v="SD1"/>
        <s v="SD2"/>
        <s v="SD3"/>
        <s v="SD4"/>
        <s v="SD5"/>
        <s v="SD6"/>
        <s v="SD7"/>
        <s v="SD8"/>
        <m/>
      </sharedItems>
    </cacheField>
    <cacheField name="FB Task #" numFmtId="0">
      <sharedItems containsString="0" containsBlank="1" containsNumber="1" containsInteger="1" minValue="1" maxValue="31"/>
    </cacheField>
    <cacheField name="Component" numFmtId="0">
      <sharedItems containsBlank="1"/>
    </cacheField>
    <cacheField name="Start Time" numFmtId="0">
      <sharedItems containsNonDate="0" containsDate="1" containsString="0" containsBlank="1" minDate="1899-12-30T02:00:00" maxDate="1899-12-30T17:00:00"/>
    </cacheField>
    <cacheField name="Finish Time" numFmtId="0">
      <sharedItems containsNonDate="0" containsDate="1" containsString="0" containsBlank="1" minDate="1899-12-30T04:30:00" maxDate="1899-12-30T17:30:00"/>
    </cacheField>
    <cacheField name="Completed Units" numFmtId="0">
      <sharedItems containsString="0" containsBlank="1" containsNumber="1" containsInteger="1" minValue="15" maxValue="400"/>
    </cacheField>
    <cacheField name="Elapse Time" numFmtId="0">
      <sharedItems containsString="0" containsBlank="1" containsNumber="1" minValue="0.49999999999999822" maxValue="8.5833333333333321"/>
    </cacheField>
    <cacheField name="Sew Time" numFmtId="0">
      <sharedItems containsString="0" containsBlank="1" containsNumber="1" minValue="0.49999999999999822" maxValue="8.0833333333333321"/>
    </cacheField>
    <cacheField name="Rate/Hour" numFmtId="0">
      <sharedItems containsString="0" containsBlank="1" containsNumber="1" minValue="16.499999999999993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r Hoda" refreshedDate="46036.96032997685" createdVersion="8" refreshedVersion="8" minRefreshableVersion="3" recordCount="107" xr:uid="{0AAA6205-39C5-0145-8055-22D68195F4FF}">
  <cacheSource type="worksheet">
    <worksheetSource ref="A1:L154" sheet="Production Data"/>
  </cacheSource>
  <cacheFields count="12">
    <cacheField name="Product" numFmtId="0">
      <sharedItems containsBlank="1" count="4">
        <s v="Tenjam"/>
        <s v="Tenjam - Blue"/>
        <s v="Tenjam - White"/>
        <m/>
      </sharedItems>
    </cacheField>
    <cacheField name="Date" numFmtId="0">
      <sharedItems containsNonDate="0" containsDate="1" containsString="0" containsBlank="1" minDate="2026-01-01T00:00:00" maxDate="2026-01-15T00:00:00"/>
    </cacheField>
    <cacheField name="Name" numFmtId="0">
      <sharedItems containsBlank="1"/>
    </cacheField>
    <cacheField name="Task ID" numFmtId="0">
      <sharedItems containsBlank="1" count="32">
        <s v="CFA1"/>
        <s v="CTA1"/>
        <s v="IFA"/>
        <s v="IFB"/>
        <s v="IFC"/>
        <s v="IFD"/>
        <s v="PSA1"/>
        <s v="SA1"/>
        <s v="SA2"/>
        <s v="SB1"/>
        <s v="SB2"/>
        <s v="SB3"/>
        <s v="SB4"/>
        <s v="SB5"/>
        <s v="SB6"/>
        <s v="SC1"/>
        <s v="SC2"/>
        <s v="SC3"/>
        <s v="SC4"/>
        <s v="SC5"/>
        <s v="SC6"/>
        <s v="SC7"/>
        <s v="SC8"/>
        <s v="SD1"/>
        <s v="SD2"/>
        <s v="SD3"/>
        <s v="SD4"/>
        <s v="SD5"/>
        <s v="SD6"/>
        <s v="SD7"/>
        <s v="SD8"/>
        <m/>
      </sharedItems>
    </cacheField>
    <cacheField name="FB Task #" numFmtId="0">
      <sharedItems containsString="0" containsBlank="1" containsNumber="1" containsInteger="1" minValue="1" maxValue="31"/>
    </cacheField>
    <cacheField name="Component" numFmtId="0">
      <sharedItems containsBlank="1"/>
    </cacheField>
    <cacheField name="Start Time" numFmtId="0">
      <sharedItems containsNonDate="0" containsDate="1" containsString="0" containsBlank="1" minDate="1899-12-30T02:00:00" maxDate="1899-12-30T17:00:00"/>
    </cacheField>
    <cacheField name="Finish Time" numFmtId="0">
      <sharedItems containsNonDate="0" containsDate="1" containsString="0" containsBlank="1" minDate="1899-12-30T04:30:00" maxDate="1899-12-30T17:30:00"/>
    </cacheField>
    <cacheField name="Completed Units" numFmtId="0">
      <sharedItems containsString="0" containsBlank="1" containsNumber="1" containsInteger="1" minValue="15" maxValue="400"/>
    </cacheField>
    <cacheField name="Elapse Time" numFmtId="0">
      <sharedItems containsString="0" containsBlank="1" containsNumber="1" minValue="0.49999999999999822" maxValue="8.5833333333333321"/>
    </cacheField>
    <cacheField name="Sew Time" numFmtId="0">
      <sharedItems containsString="0" containsBlank="1" containsNumber="1" minValue="0.49999999999999822" maxValue="8.0833333333333321"/>
    </cacheField>
    <cacheField name="Rate/Hour" numFmtId="0">
      <sharedItems containsString="0" containsBlank="1" containsNumber="1" minValue="16.499999999999993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Tenjam"/>
    <d v="2026-01-01T00:00:00"/>
    <x v="0"/>
    <x v="0"/>
    <n v="1"/>
    <s v="Fabric"/>
    <m/>
    <m/>
    <m/>
    <m/>
    <m/>
    <n v="40"/>
  </r>
  <r>
    <s v="Tenjam"/>
    <d v="2026-01-01T00:00:00"/>
    <x v="0"/>
    <x v="1"/>
    <n v="2"/>
    <s v="Trim"/>
    <m/>
    <m/>
    <m/>
    <m/>
    <m/>
    <n v="1800"/>
  </r>
  <r>
    <s v="Tenjam"/>
    <d v="2026-01-01T00:00:00"/>
    <x v="0"/>
    <x v="2"/>
    <n v="28"/>
    <s v="A. Inspection Quality "/>
    <m/>
    <m/>
    <m/>
    <m/>
    <m/>
    <n v="120"/>
  </r>
  <r>
    <s v="Tenjam"/>
    <d v="2026-01-01T00:00:00"/>
    <x v="0"/>
    <x v="3"/>
    <n v="29"/>
    <s v="B. Inspection Insert Foam "/>
    <m/>
    <m/>
    <m/>
    <m/>
    <m/>
    <n v="72"/>
  </r>
  <r>
    <s v="Tenjam"/>
    <d v="2026-01-01T00:00:00"/>
    <x v="0"/>
    <x v="4"/>
    <n v="30"/>
    <s v="C. Inspection Bag "/>
    <m/>
    <m/>
    <m/>
    <m/>
    <m/>
    <n v="120"/>
  </r>
  <r>
    <s v="Tenjam"/>
    <d v="2026-01-01T00:00:00"/>
    <x v="0"/>
    <x v="5"/>
    <n v="31"/>
    <s v="D. Inspection Pack "/>
    <m/>
    <m/>
    <m/>
    <m/>
    <m/>
    <n v="60"/>
  </r>
  <r>
    <s v="Tenjam"/>
    <d v="2026-01-01T00:00:00"/>
    <x v="0"/>
    <x v="6"/>
    <n v="3"/>
    <s v="Fabric"/>
    <m/>
    <m/>
    <m/>
    <m/>
    <m/>
    <n v="514.28571428571433"/>
  </r>
  <r>
    <s v="Tenjam"/>
    <d v="2026-01-01T00:00:00"/>
    <x v="0"/>
    <x v="7"/>
    <n v="4"/>
    <s v="A1. Small Velcro Pocket "/>
    <m/>
    <m/>
    <m/>
    <m/>
    <m/>
    <n v="180"/>
  </r>
  <r>
    <s v="Tenjam"/>
    <d v="2026-01-01T00:00:00"/>
    <x v="0"/>
    <x v="8"/>
    <n v="5"/>
    <s v="A2. Small Velcro Pocket "/>
    <m/>
    <m/>
    <m/>
    <m/>
    <m/>
    <n v="144"/>
  </r>
  <r>
    <s v="Tenjam"/>
    <d v="2026-01-01T00:00:00"/>
    <x v="0"/>
    <x v="9"/>
    <n v="6"/>
    <s v="B1. Connector Strap "/>
    <m/>
    <m/>
    <m/>
    <m/>
    <m/>
    <n v="300"/>
  </r>
  <r>
    <s v="Tenjam"/>
    <d v="2026-01-01T00:00:00"/>
    <x v="0"/>
    <x v="10"/>
    <n v="7"/>
    <s v="B2. Connector Strap "/>
    <m/>
    <m/>
    <m/>
    <m/>
    <m/>
    <n v="60"/>
  </r>
  <r>
    <s v="Tenjam"/>
    <d v="2026-01-01T00:00:00"/>
    <x v="0"/>
    <x v="11"/>
    <n v="8"/>
    <s v="B3. Connector Strap "/>
    <m/>
    <m/>
    <m/>
    <m/>
    <m/>
    <n v="144"/>
  </r>
  <r>
    <s v="Tenjam"/>
    <d v="2026-01-01T00:00:00"/>
    <x v="0"/>
    <x v="12"/>
    <n v="9"/>
    <s v="B4. Connector Strap "/>
    <m/>
    <m/>
    <m/>
    <m/>
    <m/>
    <n v="102.85714285714286"/>
  </r>
  <r>
    <s v="Tenjam"/>
    <d v="2026-01-01T00:00:00"/>
    <x v="0"/>
    <x v="13"/>
    <n v="10"/>
    <s v="B5. Connector Strap "/>
    <m/>
    <m/>
    <m/>
    <m/>
    <m/>
    <n v="240"/>
  </r>
  <r>
    <s v="Tenjam"/>
    <d v="2026-01-01T00:00:00"/>
    <x v="0"/>
    <x v="14"/>
    <n v="11"/>
    <s v="B6. Connector Strap "/>
    <m/>
    <m/>
    <m/>
    <m/>
    <m/>
    <n v="144"/>
  </r>
  <r>
    <s v="Tenjam"/>
    <d v="2026-01-01T00:00:00"/>
    <x v="0"/>
    <x v="15"/>
    <n v="12"/>
    <s v="C1. Hanging Big Pocket "/>
    <m/>
    <m/>
    <m/>
    <m/>
    <m/>
    <n v="211.76470588235293"/>
  </r>
  <r>
    <s v="Tenjam"/>
    <d v="2026-01-01T00:00:00"/>
    <x v="0"/>
    <x v="16"/>
    <n v="13"/>
    <s v="C2. Hanging Big Pocket "/>
    <m/>
    <m/>
    <m/>
    <m/>
    <m/>
    <n v="102.85714285714286"/>
  </r>
  <r>
    <s v="Tenjam"/>
    <d v="2026-01-01T00:00:00"/>
    <x v="0"/>
    <x v="17"/>
    <n v="14"/>
    <s v="C3. Hanging Big Pocket "/>
    <m/>
    <m/>
    <m/>
    <m/>
    <m/>
    <n v="100"/>
  </r>
  <r>
    <s v="Tenjam"/>
    <d v="2026-01-01T00:00:00"/>
    <x v="0"/>
    <x v="18"/>
    <n v="15"/>
    <s v="C4. Hanging Big Pocket "/>
    <m/>
    <m/>
    <m/>
    <m/>
    <m/>
    <n v="144"/>
  </r>
  <r>
    <s v="Tenjam"/>
    <d v="2026-01-01T00:00:00"/>
    <x v="0"/>
    <x v="19"/>
    <n v="16"/>
    <s v="C5. Hanging Big Pocket "/>
    <m/>
    <m/>
    <m/>
    <m/>
    <m/>
    <n v="240"/>
  </r>
  <r>
    <s v="Tenjam"/>
    <d v="2026-01-01T00:00:00"/>
    <x v="0"/>
    <x v="20"/>
    <n v="17"/>
    <s v="C6. Hanging Big Pocket "/>
    <m/>
    <m/>
    <m/>
    <m/>
    <m/>
    <n v="180"/>
  </r>
  <r>
    <s v="Tenjam"/>
    <d v="2026-01-01T00:00:00"/>
    <x v="0"/>
    <x v="21"/>
    <n v="18"/>
    <s v="C7. Bartack "/>
    <m/>
    <m/>
    <m/>
    <m/>
    <m/>
    <n v="257.14285714285717"/>
  </r>
  <r>
    <s v="Tenjam"/>
    <d v="2026-01-01T00:00:00"/>
    <x v="0"/>
    <x v="22"/>
    <n v="19"/>
    <s v="C8. Hanging Big Pocket "/>
    <m/>
    <m/>
    <m/>
    <m/>
    <m/>
    <n v="400"/>
  </r>
  <r>
    <s v="Tenjam"/>
    <d v="2026-01-01T00:00:00"/>
    <x v="0"/>
    <x v="23"/>
    <n v="20"/>
    <s v="D1. Cushion Cover "/>
    <m/>
    <m/>
    <m/>
    <m/>
    <m/>
    <n v="36"/>
  </r>
  <r>
    <s v="Tenjam"/>
    <d v="2026-01-01T00:00:00"/>
    <x v="0"/>
    <x v="24"/>
    <n v="21"/>
    <s v="D2. Cushion Cover "/>
    <m/>
    <m/>
    <m/>
    <m/>
    <m/>
    <n v="120"/>
  </r>
  <r>
    <s v="Tenjam"/>
    <d v="2026-01-01T00:00:00"/>
    <x v="0"/>
    <x v="25"/>
    <n v="22"/>
    <s v="D3. Cushion Cover "/>
    <m/>
    <m/>
    <m/>
    <m/>
    <m/>
    <n v="200"/>
  </r>
  <r>
    <s v="Tenjam"/>
    <d v="2026-01-01T00:00:00"/>
    <x v="0"/>
    <x v="26"/>
    <n v="23"/>
    <s v="D4. Cushion Cover "/>
    <m/>
    <m/>
    <m/>
    <m/>
    <m/>
    <n v="60"/>
  </r>
  <r>
    <s v="Tenjam"/>
    <d v="2026-01-01T00:00:00"/>
    <x v="0"/>
    <x v="27"/>
    <n v="24"/>
    <s v="D5. Cushion Cover "/>
    <m/>
    <m/>
    <m/>
    <m/>
    <m/>
    <n v="120"/>
  </r>
  <r>
    <s v="Tenjam"/>
    <d v="2026-01-01T00:00:00"/>
    <x v="0"/>
    <x v="28"/>
    <n v="25"/>
    <s v="D6.Cushion Cover "/>
    <m/>
    <m/>
    <m/>
    <m/>
    <m/>
    <n v="120"/>
  </r>
  <r>
    <s v="Tenjam"/>
    <d v="2026-01-01T00:00:00"/>
    <x v="0"/>
    <x v="29"/>
    <n v="26"/>
    <s v="D7. Cushion Cover "/>
    <m/>
    <m/>
    <m/>
    <m/>
    <m/>
    <n v="120"/>
  </r>
  <r>
    <s v="Tenjam"/>
    <d v="2026-01-01T00:00:00"/>
    <x v="0"/>
    <x v="30"/>
    <n v="27"/>
    <s v="D8. Cushion Cover "/>
    <m/>
    <m/>
    <m/>
    <m/>
    <m/>
    <n v="120"/>
  </r>
  <r>
    <s v="Tenjam - Blue"/>
    <d v="2026-01-12T00:00:00"/>
    <x v="1"/>
    <x v="7"/>
    <m/>
    <s v="A1"/>
    <d v="1899-12-30T08:30:00"/>
    <d v="1899-12-30T13:15:00"/>
    <n v="400"/>
    <n v="4.75"/>
    <n v="4.25"/>
    <n v="94.117647058823536"/>
  </r>
  <r>
    <s v="Tenjam - Blue"/>
    <d v="2026-01-12T00:00:00"/>
    <x v="1"/>
    <x v="15"/>
    <m/>
    <s v="C1"/>
    <d v="1899-12-30T13:15:00"/>
    <d v="1899-12-30T14:20:00"/>
    <n v="170"/>
    <n v="1.0833333333333321"/>
    <n v="1.0833333333333321"/>
    <n v="156.9230769230771"/>
  </r>
  <r>
    <s v="Tenjam - Blue"/>
    <d v="2026-01-12T00:00:00"/>
    <x v="1"/>
    <x v="16"/>
    <m/>
    <s v="C2"/>
    <d v="1899-12-30T14:20:00"/>
    <d v="1899-12-30T17:30:00"/>
    <n v="223"/>
    <n v="3.1666666666666661"/>
    <n v="3.1666666666666661"/>
    <n v="70.421052631578959"/>
  </r>
  <r>
    <s v="Tenjam - Blue"/>
    <d v="2026-01-12T00:00:00"/>
    <x v="2"/>
    <x v="6"/>
    <m/>
    <s v="A1"/>
    <d v="1899-12-30T09:30:00"/>
    <d v="1899-12-30T10:30:00"/>
    <n v="400"/>
    <n v="1.0000000000000004"/>
    <n v="1.0000000000000004"/>
    <n v="399.99999999999983"/>
  </r>
  <r>
    <s v="Tenjam - Blue"/>
    <d v="2026-01-12T00:00:00"/>
    <x v="2"/>
    <x v="11"/>
    <m/>
    <s v="B3"/>
    <d v="1899-12-30T10:40:00"/>
    <d v="1899-12-30T15:30:00"/>
    <n v="158"/>
    <n v="4.8333333333333348"/>
    <n v="4.3333333333333348"/>
    <n v="36.461538461538446"/>
  </r>
  <r>
    <s v="Tenjam - Blue"/>
    <d v="2026-01-12T00:00:00"/>
    <x v="2"/>
    <x v="24"/>
    <m/>
    <s v="D2"/>
    <d v="1899-12-30T15:35:00"/>
    <d v="1899-12-30T17:00:00"/>
    <n v="100"/>
    <n v="1.416666666666667"/>
    <n v="1.416666666666667"/>
    <n v="70.588235294117638"/>
  </r>
  <r>
    <s v="Tenjam - Blue"/>
    <d v="2026-01-12T00:00:00"/>
    <x v="3"/>
    <x v="10"/>
    <m/>
    <s v="B2"/>
    <d v="1899-12-30T09:45:00"/>
    <d v="1899-12-30T14:35:00"/>
    <n v="133"/>
    <n v="4.8333333333333321"/>
    <n v="4.3333333333333321"/>
    <n v="30.692307692307701"/>
  </r>
  <r>
    <s v="Tenjam - Blue"/>
    <d v="2026-01-12T00:00:00"/>
    <x v="4"/>
    <x v="12"/>
    <m/>
    <s v="B4"/>
    <d v="1899-12-30T04:45:00"/>
    <d v="1899-12-30T05:30:00"/>
    <n v="22"/>
    <n v="0.75"/>
    <n v="0.75"/>
    <n v="29.333333333333332"/>
  </r>
  <r>
    <s v="Tenjam - Blue"/>
    <d v="2026-01-12T00:00:00"/>
    <x v="4"/>
    <x v="8"/>
    <m/>
    <s v="A2"/>
    <d v="1899-12-30T10:30:00"/>
    <d v="1899-12-30T16:45:00"/>
    <n v="345"/>
    <n v="6.2499999999999991"/>
    <n v="5.7499999999999991"/>
    <n v="60.000000000000007"/>
  </r>
  <r>
    <s v="Tenjam - Blue"/>
    <d v="2026-01-12T00:00:00"/>
    <x v="5"/>
    <x v="8"/>
    <m/>
    <s v="A2"/>
    <d v="1899-12-30T13:40:00"/>
    <d v="1899-12-30T17:00:00"/>
    <n v="55"/>
    <n v="3.3333333333333348"/>
    <n v="3.3333333333333348"/>
    <n v="16.499999999999993"/>
  </r>
  <r>
    <s v="Tenjam - Blue"/>
    <d v="2026-01-12T00:00:00"/>
    <x v="5"/>
    <x v="13"/>
    <m/>
    <s v="B5"/>
    <d v="1899-12-30T17:00:00"/>
    <d v="1899-12-30T17:30:00"/>
    <n v="15"/>
    <n v="0.49999999999999822"/>
    <n v="0.49999999999999822"/>
    <n v="30.000000000000107"/>
  </r>
  <r>
    <s v="Tenjam - Blue"/>
    <d v="2026-01-12T00:00:00"/>
    <x v="6"/>
    <x v="9"/>
    <m/>
    <s v="B1"/>
    <d v="1899-12-30T08:30:00"/>
    <d v="1899-12-30T11:10:00"/>
    <n v="400"/>
    <n v="2.6666666666666665"/>
    <n v="2.6666666666666665"/>
    <n v="150"/>
  </r>
  <r>
    <s v="Tenjam - Blue"/>
    <d v="2026-01-12T00:00:00"/>
    <x v="6"/>
    <x v="11"/>
    <m/>
    <s v="B3"/>
    <d v="1899-12-30T11:35:00"/>
    <d v="1899-12-30T15:20:00"/>
    <n v="242"/>
    <n v="3.7499999999999987"/>
    <n v="3.7499999999999987"/>
    <n v="64.53333333333336"/>
  </r>
  <r>
    <s v="Tenjam - Blue"/>
    <d v="2026-01-12T00:00:00"/>
    <x v="6"/>
    <x v="12"/>
    <m/>
    <s v="B4"/>
    <d v="1899-12-30T15:20:00"/>
    <d v="1899-12-30T16:50:00"/>
    <n v="55"/>
    <n v="1.5"/>
    <n v="1.5"/>
    <n v="36.666666666666664"/>
  </r>
  <r>
    <s v="Tenjam - Blue"/>
    <d v="2026-01-12T00:00:00"/>
    <x v="7"/>
    <x v="10"/>
    <m/>
    <s v="B2"/>
    <d v="1899-12-30T09:45:00"/>
    <d v="1899-12-30T14:35:00"/>
    <n v="133"/>
    <n v="4.8333333333333321"/>
    <n v="4.3333333333333321"/>
    <n v="30.692307692307701"/>
  </r>
  <r>
    <s v="Tenjam - Blue"/>
    <d v="2026-01-12T00:00:00"/>
    <x v="8"/>
    <x v="15"/>
    <m/>
    <s v="C1"/>
    <d v="1899-12-30T11:35:00"/>
    <d v="1899-12-30T14:45:00"/>
    <n v="230"/>
    <n v="3.1666666666666674"/>
    <n v="3.1666666666666674"/>
    <n v="72.631578947368411"/>
  </r>
  <r>
    <s v="Tenjam - Blue"/>
    <d v="2026-01-12T00:00:00"/>
    <x v="8"/>
    <x v="16"/>
    <m/>
    <s v="C2"/>
    <d v="1899-12-30T15:00:00"/>
    <d v="1899-12-30T17:30:00"/>
    <n v="177"/>
    <n v="2.4999999999999991"/>
    <n v="2.4999999999999991"/>
    <n v="70.800000000000026"/>
  </r>
  <r>
    <s v="Tenjam - Blue"/>
    <d v="2026-01-12T00:00:00"/>
    <x v="9"/>
    <x v="10"/>
    <m/>
    <s v="B2"/>
    <d v="1899-12-30T09:45:00"/>
    <d v="1899-12-30T14:35:00"/>
    <n v="134"/>
    <n v="4.8333333333333321"/>
    <n v="4.3333333333333321"/>
    <n v="30.92307692307693"/>
  </r>
  <r>
    <s v="Tenjam - Blue"/>
    <d v="2026-01-13T00:00:00"/>
    <x v="1"/>
    <x v="17"/>
    <m/>
    <s v="C3"/>
    <d v="1899-12-30T06:00:00"/>
    <d v="1899-12-30T08:50:00"/>
    <n v="223"/>
    <n v="2.8333333333333339"/>
    <n v="2.8333333333333339"/>
    <n v="78.70588235294116"/>
  </r>
  <r>
    <s v="Tenjam - Blue"/>
    <d v="2026-01-13T00:00:00"/>
    <x v="1"/>
    <x v="20"/>
    <m/>
    <s v="C6"/>
    <d v="1899-12-30T08:50:00"/>
    <d v="1899-12-30T12:40:00"/>
    <n v="200"/>
    <n v="3.833333333333333"/>
    <n v="3.333333333333333"/>
    <n v="60.000000000000007"/>
  </r>
  <r>
    <s v="Tenjam - Blue"/>
    <d v="2026-01-13T00:00:00"/>
    <x v="1"/>
    <x v="19"/>
    <m/>
    <s v="C5"/>
    <d v="1899-12-30T12:40:00"/>
    <d v="1899-12-30T14:47:00"/>
    <n v="175"/>
    <n v="2.1166666666666671"/>
    <n v="2.1166666666666671"/>
    <n v="82.677165354330697"/>
  </r>
  <r>
    <s v="Tenjam - Blue"/>
    <d v="2026-01-13T00:00:00"/>
    <x v="1"/>
    <x v="22"/>
    <m/>
    <s v="C8"/>
    <d v="1899-12-30T14:47:00"/>
    <d v="1899-12-30T16:30:00"/>
    <n v="100"/>
    <n v="1.7166666666666659"/>
    <n v="1.7166666666666659"/>
    <n v="58.252427184466043"/>
  </r>
  <r>
    <s v="Tenjam - Blue"/>
    <d v="2026-01-13T00:00:00"/>
    <x v="2"/>
    <x v="23"/>
    <m/>
    <s v="D1"/>
    <d v="1899-12-30T06:00:00"/>
    <d v="1899-12-30T14:35:00"/>
    <n v="300"/>
    <n v="8.5833333333333321"/>
    <n v="8.0833333333333321"/>
    <n v="37.113402061855673"/>
  </r>
  <r>
    <s v="Tenjam - Blue"/>
    <d v="2026-01-13T00:00:00"/>
    <x v="2"/>
    <x v="21"/>
    <m/>
    <s v="C7"/>
    <d v="1899-12-30T14:45:00"/>
    <d v="1899-12-30T16:30:00"/>
    <n v="123"/>
    <n v="1.7499999999999991"/>
    <n v="1.7499999999999991"/>
    <n v="70.28571428571432"/>
  </r>
  <r>
    <s v="Tenjam - Blue"/>
    <d v="2026-01-13T00:00:00"/>
    <x v="4"/>
    <x v="13"/>
    <m/>
    <s v="B5"/>
    <d v="1899-12-30T06:00:00"/>
    <d v="1899-12-30T09:25:00"/>
    <n v="160"/>
    <n v="3.4166666666666665"/>
    <n v="3.4166666666666665"/>
    <n v="46.829268292682926"/>
  </r>
  <r>
    <s v="Tenjam - Blue"/>
    <d v="2026-01-13T00:00:00"/>
    <x v="4"/>
    <x v="12"/>
    <m/>
    <s v="B4"/>
    <d v="1899-12-30T09:30:00"/>
    <d v="1899-12-30T11:45:00"/>
    <n v="120"/>
    <n v="2.25"/>
    <n v="1.75"/>
    <n v="68.571428571428569"/>
  </r>
  <r>
    <s v="Tenjam - Blue"/>
    <d v="2026-01-13T00:00:00"/>
    <x v="4"/>
    <x v="14"/>
    <m/>
    <s v="B6"/>
    <d v="1899-12-30T11:45:00"/>
    <d v="1899-12-30T14:00:00"/>
    <n v="100"/>
    <n v="2.2500000000000013"/>
    <n v="2.2500000000000013"/>
    <n v="44.444444444444422"/>
  </r>
  <r>
    <s v="Tenjam - Blue"/>
    <d v="2026-01-13T00:00:00"/>
    <x v="4"/>
    <x v="17"/>
    <m/>
    <s v="C3"/>
    <d v="1899-12-30T14:00:00"/>
    <d v="1899-12-30T14:52:00"/>
    <n v="110"/>
    <n v="0.86666666666666625"/>
    <n v="0.86666666666666625"/>
    <n v="126.92307692307699"/>
  </r>
  <r>
    <s v="Tenjam - Blue"/>
    <d v="2026-01-13T00:00:00"/>
    <x v="4"/>
    <x v="22"/>
    <m/>
    <s v="C8"/>
    <d v="1899-12-30T15:44:00"/>
    <d v="1899-12-30T16:30:00"/>
    <n v="75"/>
    <n v="0.76666666666666661"/>
    <n v="0.76666666666666661"/>
    <n v="97.826086956521749"/>
  </r>
  <r>
    <s v="Tenjam - Blue"/>
    <d v="2026-01-13T00:00:00"/>
    <x v="5"/>
    <x v="12"/>
    <m/>
    <s v="B4"/>
    <d v="1899-12-30T06:00:00"/>
    <d v="1899-12-30T08:20:00"/>
    <n v="116"/>
    <n v="2.333333333333333"/>
    <n v="2.333333333333333"/>
    <n v="49.714285714285722"/>
  </r>
  <r>
    <s v="Tenjam - Blue"/>
    <d v="2026-01-13T00:00:00"/>
    <x v="5"/>
    <x v="25"/>
    <m/>
    <s v="D3"/>
    <d v="1899-12-30T08:20:00"/>
    <d v="1899-12-30T16:30:00"/>
    <n v="196"/>
    <n v="8.1666666666666679"/>
    <n v="7.6666666666666679"/>
    <n v="25.565217391304344"/>
  </r>
  <r>
    <s v="Tenjam - Blue"/>
    <d v="2026-01-13T00:00:00"/>
    <x v="6"/>
    <x v="13"/>
    <m/>
    <s v="B5"/>
    <d v="1899-12-30T06:00:00"/>
    <d v="1899-12-30T09:00:00"/>
    <n v="192"/>
    <n v="3"/>
    <n v="3"/>
    <n v="64"/>
  </r>
  <r>
    <s v="Tenjam - Blue"/>
    <d v="2026-01-13T00:00:00"/>
    <x v="6"/>
    <x v="12"/>
    <m/>
    <s v="B4"/>
    <d v="1899-12-30T09:00:00"/>
    <d v="1899-12-30T11:50:00"/>
    <n v="165"/>
    <n v="2.8333333333333339"/>
    <n v="2.3333333333333339"/>
    <n v="70.714285714285694"/>
  </r>
  <r>
    <s v="Tenjam - Blue"/>
    <d v="2026-01-13T00:00:00"/>
    <x v="6"/>
    <x v="26"/>
    <m/>
    <s v="D4"/>
    <d v="1899-12-30T11:50:00"/>
    <d v="1899-12-30T14:30:00"/>
    <n v="177"/>
    <n v="2.6666666666666652"/>
    <n v="2.6666666666666652"/>
    <n v="66.375000000000043"/>
  </r>
  <r>
    <s v="Tenjam - Blue"/>
    <d v="2026-01-13T00:00:00"/>
    <x v="6"/>
    <x v="22"/>
    <m/>
    <s v="C8"/>
    <d v="1899-12-30T14:40:00"/>
    <d v="1899-12-30T16:30:00"/>
    <n v="160"/>
    <n v="1.8333333333333321"/>
    <n v="1.8333333333333321"/>
    <n v="87.272727272727323"/>
  </r>
  <r>
    <s v="Tenjam - Blue"/>
    <d v="2026-01-13T00:00:00"/>
    <x v="8"/>
    <x v="17"/>
    <m/>
    <s v="C3"/>
    <d v="1899-12-30T06:00:00"/>
    <d v="1899-12-30T08:50:00"/>
    <n v="177"/>
    <n v="2.8333333333333339"/>
    <n v="2.8333333333333339"/>
    <n v="62.470588235294102"/>
  </r>
  <r>
    <s v="Tenjam - Blue"/>
    <d v="2026-01-13T00:00:00"/>
    <x v="8"/>
    <x v="20"/>
    <m/>
    <s v="C6"/>
    <d v="1899-12-30T09:00:00"/>
    <d v="1899-12-30T13:00:00"/>
    <n v="200"/>
    <n v="3.9999999999999991"/>
    <n v="3.4999999999999991"/>
    <n v="57.14285714285716"/>
  </r>
  <r>
    <s v="Tenjam - Blue"/>
    <d v="2026-01-13T00:00:00"/>
    <x v="8"/>
    <x v="19"/>
    <m/>
    <s v="C5"/>
    <d v="1899-12-30T13:00:00"/>
    <d v="1899-12-30T14:40:00"/>
    <n v="115"/>
    <n v="1.6666666666666687"/>
    <n v="1.6666666666666687"/>
    <n v="68.999999999999915"/>
  </r>
  <r>
    <s v="Tenjam - Blue"/>
    <d v="2026-01-13T00:00:00"/>
    <x v="8"/>
    <x v="21"/>
    <m/>
    <s v="C7"/>
    <d v="1899-12-30T14:45:00"/>
    <d v="1899-12-30T16:30:00"/>
    <n v="235"/>
    <n v="1.7499999999999991"/>
    <n v="1.7499999999999991"/>
    <n v="134.28571428571436"/>
  </r>
  <r>
    <s v="Tenjam - Blue"/>
    <d v="2026-01-13T00:00:00"/>
    <x v="9"/>
    <x v="14"/>
    <m/>
    <s v="B6"/>
    <d v="1899-12-30T12:30:00"/>
    <d v="1899-12-30T15:30:00"/>
    <n v="150"/>
    <n v="3"/>
    <n v="3"/>
    <n v="50"/>
  </r>
  <r>
    <s v="Tenjam - Blue"/>
    <d v="2026-01-13T00:00:00"/>
    <x v="10"/>
    <x v="18"/>
    <m/>
    <s v="C4"/>
    <d v="1899-12-30T07:50:00"/>
    <d v="1899-12-30T12:30:00"/>
    <n v="278"/>
    <n v="4.6666666666666679"/>
    <n v="4.1666666666666679"/>
    <n v="66.719999999999985"/>
  </r>
  <r>
    <s v="Tenjam - Blue"/>
    <d v="2026-01-13T00:00:00"/>
    <x v="10"/>
    <x v="14"/>
    <m/>
    <s v="B6"/>
    <d v="1899-12-30T12:30:00"/>
    <d v="1899-12-30T15:30:00"/>
    <n v="150"/>
    <n v="3"/>
    <n v="3"/>
    <n v="50"/>
  </r>
  <r>
    <s v="Tenjam - White"/>
    <d v="2026-01-14T00:00:00"/>
    <x v="2"/>
    <x v="23"/>
    <n v="20"/>
    <s v="D1"/>
    <d v="1899-12-30T02:00:00"/>
    <d v="1899-12-30T04:30:00"/>
    <n v="100"/>
    <n v="2.5"/>
    <n v="2.5"/>
    <n v="40"/>
  </r>
  <r>
    <s v="Tenjam - White"/>
    <d v="2026-01-14T00:00:00"/>
    <x v="2"/>
    <x v="6"/>
    <n v="3"/>
    <s v="Prep"/>
    <d v="1899-12-30T06:35:00"/>
    <d v="1899-12-30T08:30:00"/>
    <n v="400"/>
    <n v="1.9166666666666665"/>
    <n v="1.9166666666666665"/>
    <n v="208.69565217391306"/>
  </r>
  <r>
    <s v="Tenjam - White"/>
    <d v="2026-01-14T00:00:00"/>
    <x v="2"/>
    <x v="24"/>
    <n v="21"/>
    <s v="D2"/>
    <d v="1899-12-30T08:40:00"/>
    <d v="1899-12-30T14:00:00"/>
    <n v="400"/>
    <n v="5.3333333333333339"/>
    <n v="4.8333333333333339"/>
    <n v="82.75862068965516"/>
  </r>
  <r>
    <s v="Tenjam - White"/>
    <d v="2026-01-14T00:00:00"/>
    <x v="3"/>
    <x v="10"/>
    <n v="7"/>
    <s v="B2"/>
    <d v="1899-12-30T07:45:00"/>
    <d v="1899-12-30T09:15:00"/>
    <n v="100"/>
    <n v="1.5"/>
    <n v="1.5"/>
    <n v="66.666666666666671"/>
  </r>
  <r>
    <s v="Tenjam - White"/>
    <d v="2026-01-14T00:00:00"/>
    <x v="7"/>
    <x v="10"/>
    <n v="7"/>
    <s v="B2"/>
    <d v="1899-12-30T07:45:00"/>
    <d v="1899-12-30T09:15:00"/>
    <n v="100"/>
    <n v="1.5"/>
    <n v="1.5"/>
    <n v="66.666666666666671"/>
  </r>
  <r>
    <s v="Tenjam - White"/>
    <d v="2026-01-14T00:00:00"/>
    <x v="8"/>
    <x v="9"/>
    <n v="6"/>
    <s v="B1"/>
    <d v="1899-12-30T07:15:00"/>
    <d v="1899-12-30T07:45:00"/>
    <n v="36"/>
    <n v="0.50000000000000089"/>
    <n v="0.50000000000000089"/>
    <n v="71.999999999999872"/>
  </r>
  <r>
    <s v="Tenjam - White"/>
    <d v="2026-01-14T00:00:00"/>
    <x v="8"/>
    <x v="7"/>
    <n v="4"/>
    <s v="A1"/>
    <d v="1899-12-30T12:10:00"/>
    <d v="1899-12-30T16:20:00"/>
    <n v="200"/>
    <n v="4.1666666666666679"/>
    <n v="4.1666666666666679"/>
    <n v="47.999999999999986"/>
  </r>
  <r>
    <s v="Tenjam - White"/>
    <d v="2026-01-14T00:00:00"/>
    <x v="11"/>
    <x v="9"/>
    <n v="6"/>
    <s v="B1"/>
    <d v="1899-12-30T06:00:00"/>
    <d v="1899-12-30T08:10:00"/>
    <n v="364"/>
    <n v="2.166666666666667"/>
    <n v="2.166666666666667"/>
    <n v="167.99999999999997"/>
  </r>
  <r>
    <s v="Tenjam - White"/>
    <d v="2026-01-14T00:00:00"/>
    <x v="11"/>
    <x v="11"/>
    <n v="8"/>
    <s v="B3"/>
    <d v="1899-12-30T12:10:00"/>
    <d v="1899-12-30T16:30:00"/>
    <n v="382"/>
    <n v="4.3333333333333339"/>
    <n v="4.3333333333333339"/>
    <n v="88.153846153846146"/>
  </r>
  <r>
    <s v="Tenjam - White"/>
    <d v="2026-01-14T00:00:00"/>
    <x v="9"/>
    <x v="10"/>
    <n v="7"/>
    <s v="B2"/>
    <d v="1899-12-30T07:45:00"/>
    <d v="1899-12-30T11:00:00"/>
    <n v="200"/>
    <n v="3.2499999999999991"/>
    <n v="3.2499999999999991"/>
    <n v="61.538461538461554"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  <r>
    <m/>
    <m/>
    <x v="12"/>
    <x v="3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d v="2026-01-01T00:00:00"/>
    <s v="00-Prod Dev"/>
    <x v="0"/>
    <n v="1"/>
    <s v="Fabric"/>
    <m/>
    <m/>
    <n v="400"/>
    <m/>
    <m/>
    <n v="40"/>
  </r>
  <r>
    <x v="0"/>
    <d v="2026-01-01T00:00:00"/>
    <s v="00-Prod Dev"/>
    <x v="1"/>
    <n v="2"/>
    <s v="Trim"/>
    <m/>
    <m/>
    <n v="400"/>
    <m/>
    <m/>
    <n v="1800"/>
  </r>
  <r>
    <x v="0"/>
    <d v="2026-01-01T00:00:00"/>
    <s v="00-Prod Dev"/>
    <x v="2"/>
    <n v="28"/>
    <s v="A. Inspection Quality "/>
    <m/>
    <m/>
    <m/>
    <m/>
    <m/>
    <n v="120"/>
  </r>
  <r>
    <x v="0"/>
    <d v="2026-01-01T00:00:00"/>
    <s v="00-Prod Dev"/>
    <x v="3"/>
    <n v="29"/>
    <s v="B. Inspection Insert Foam "/>
    <m/>
    <m/>
    <m/>
    <m/>
    <m/>
    <n v="72"/>
  </r>
  <r>
    <x v="0"/>
    <d v="2026-01-01T00:00:00"/>
    <s v="00-Prod Dev"/>
    <x v="4"/>
    <n v="30"/>
    <s v="C. Inspection Bag "/>
    <m/>
    <m/>
    <m/>
    <m/>
    <m/>
    <n v="120"/>
  </r>
  <r>
    <x v="0"/>
    <d v="2026-01-01T00:00:00"/>
    <s v="00-Prod Dev"/>
    <x v="5"/>
    <n v="31"/>
    <s v="D. Inspection Pack "/>
    <m/>
    <m/>
    <m/>
    <m/>
    <m/>
    <n v="60"/>
  </r>
  <r>
    <x v="0"/>
    <d v="2026-01-01T00:00:00"/>
    <s v="00-Prod Dev"/>
    <x v="6"/>
    <n v="3"/>
    <s v="Fabric"/>
    <m/>
    <m/>
    <m/>
    <m/>
    <m/>
    <n v="514.28571428571433"/>
  </r>
  <r>
    <x v="0"/>
    <d v="2026-01-01T00:00:00"/>
    <s v="00-Prod Dev"/>
    <x v="7"/>
    <n v="4"/>
    <s v="A1. Small Velcro Pocket "/>
    <m/>
    <m/>
    <m/>
    <m/>
    <m/>
    <n v="180"/>
  </r>
  <r>
    <x v="0"/>
    <d v="2026-01-01T00:00:00"/>
    <s v="00-Prod Dev"/>
    <x v="8"/>
    <n v="5"/>
    <s v="A2. Small Velcro Pocket "/>
    <m/>
    <m/>
    <m/>
    <m/>
    <m/>
    <n v="144"/>
  </r>
  <r>
    <x v="0"/>
    <d v="2026-01-01T00:00:00"/>
    <s v="00-Prod Dev"/>
    <x v="9"/>
    <n v="6"/>
    <s v="B1. Connector Strap "/>
    <m/>
    <m/>
    <m/>
    <m/>
    <m/>
    <n v="300"/>
  </r>
  <r>
    <x v="0"/>
    <d v="2026-01-01T00:00:00"/>
    <s v="00-Prod Dev"/>
    <x v="10"/>
    <n v="7"/>
    <s v="B2. Connector Strap "/>
    <m/>
    <m/>
    <m/>
    <m/>
    <m/>
    <n v="60"/>
  </r>
  <r>
    <x v="0"/>
    <d v="2026-01-01T00:00:00"/>
    <s v="00-Prod Dev"/>
    <x v="11"/>
    <n v="8"/>
    <s v="B3. Connector Strap "/>
    <m/>
    <m/>
    <m/>
    <m/>
    <m/>
    <n v="144"/>
  </r>
  <r>
    <x v="0"/>
    <d v="2026-01-01T00:00:00"/>
    <s v="00-Prod Dev"/>
    <x v="12"/>
    <n v="9"/>
    <s v="B4. Connector Strap "/>
    <m/>
    <m/>
    <m/>
    <m/>
    <m/>
    <n v="102.85714285714286"/>
  </r>
  <r>
    <x v="0"/>
    <d v="2026-01-01T00:00:00"/>
    <s v="00-Prod Dev"/>
    <x v="13"/>
    <n v="10"/>
    <s v="B5. Connector Strap "/>
    <m/>
    <m/>
    <m/>
    <m/>
    <m/>
    <n v="240"/>
  </r>
  <r>
    <x v="0"/>
    <d v="2026-01-01T00:00:00"/>
    <s v="00-Prod Dev"/>
    <x v="14"/>
    <n v="11"/>
    <s v="B6. Connector Strap "/>
    <m/>
    <m/>
    <m/>
    <m/>
    <m/>
    <n v="144"/>
  </r>
  <r>
    <x v="0"/>
    <d v="2026-01-01T00:00:00"/>
    <s v="00-Prod Dev"/>
    <x v="15"/>
    <n v="12"/>
    <s v="C1. Hanging Big Pocket "/>
    <m/>
    <m/>
    <m/>
    <m/>
    <m/>
    <n v="211.76470588235293"/>
  </r>
  <r>
    <x v="0"/>
    <d v="2026-01-01T00:00:00"/>
    <s v="00-Prod Dev"/>
    <x v="16"/>
    <n v="13"/>
    <s v="C2. Hanging Big Pocket "/>
    <m/>
    <m/>
    <m/>
    <m/>
    <m/>
    <n v="102.85714285714286"/>
  </r>
  <r>
    <x v="0"/>
    <d v="2026-01-01T00:00:00"/>
    <s v="00-Prod Dev"/>
    <x v="17"/>
    <n v="14"/>
    <s v="C3. Hanging Big Pocket "/>
    <m/>
    <m/>
    <m/>
    <m/>
    <m/>
    <n v="100"/>
  </r>
  <r>
    <x v="0"/>
    <d v="2026-01-01T00:00:00"/>
    <s v="00-Prod Dev"/>
    <x v="18"/>
    <n v="15"/>
    <s v="C4. Hanging Big Pocket "/>
    <m/>
    <m/>
    <m/>
    <m/>
    <m/>
    <n v="144"/>
  </r>
  <r>
    <x v="0"/>
    <d v="2026-01-01T00:00:00"/>
    <s v="00-Prod Dev"/>
    <x v="19"/>
    <n v="16"/>
    <s v="C5. Hanging Big Pocket "/>
    <m/>
    <m/>
    <m/>
    <m/>
    <m/>
    <n v="240"/>
  </r>
  <r>
    <x v="0"/>
    <d v="2026-01-01T00:00:00"/>
    <s v="00-Prod Dev"/>
    <x v="20"/>
    <n v="17"/>
    <s v="C6. Hanging Big Pocket "/>
    <m/>
    <m/>
    <m/>
    <m/>
    <m/>
    <n v="180"/>
  </r>
  <r>
    <x v="0"/>
    <d v="2026-01-01T00:00:00"/>
    <s v="00-Prod Dev"/>
    <x v="21"/>
    <n v="18"/>
    <s v="C7. Bartack "/>
    <m/>
    <m/>
    <m/>
    <m/>
    <m/>
    <n v="257.14285714285717"/>
  </r>
  <r>
    <x v="0"/>
    <d v="2026-01-01T00:00:00"/>
    <s v="00-Prod Dev"/>
    <x v="22"/>
    <n v="19"/>
    <s v="C8. Hanging Big Pocket "/>
    <m/>
    <m/>
    <m/>
    <m/>
    <m/>
    <n v="400"/>
  </r>
  <r>
    <x v="0"/>
    <d v="2026-01-01T00:00:00"/>
    <s v="00-Prod Dev"/>
    <x v="23"/>
    <n v="20"/>
    <s v="D1. Cushion Cover "/>
    <m/>
    <m/>
    <m/>
    <m/>
    <m/>
    <n v="36"/>
  </r>
  <r>
    <x v="0"/>
    <d v="2026-01-01T00:00:00"/>
    <s v="00-Prod Dev"/>
    <x v="24"/>
    <n v="21"/>
    <s v="D2. Cushion Cover "/>
    <m/>
    <m/>
    <m/>
    <m/>
    <m/>
    <n v="120"/>
  </r>
  <r>
    <x v="0"/>
    <d v="2026-01-01T00:00:00"/>
    <s v="00-Prod Dev"/>
    <x v="25"/>
    <n v="22"/>
    <s v="D3. Cushion Cover "/>
    <m/>
    <m/>
    <m/>
    <m/>
    <m/>
    <n v="200"/>
  </r>
  <r>
    <x v="0"/>
    <d v="2026-01-01T00:00:00"/>
    <s v="00-Prod Dev"/>
    <x v="26"/>
    <n v="23"/>
    <s v="D4. Cushion Cover "/>
    <m/>
    <m/>
    <m/>
    <m/>
    <m/>
    <n v="60"/>
  </r>
  <r>
    <x v="0"/>
    <d v="2026-01-01T00:00:00"/>
    <s v="00-Prod Dev"/>
    <x v="27"/>
    <n v="24"/>
    <s v="D5. Cushion Cover "/>
    <m/>
    <m/>
    <m/>
    <m/>
    <m/>
    <n v="120"/>
  </r>
  <r>
    <x v="0"/>
    <d v="2026-01-01T00:00:00"/>
    <s v="00-Prod Dev"/>
    <x v="28"/>
    <n v="25"/>
    <s v="D6.Cushion Cover "/>
    <m/>
    <m/>
    <m/>
    <m/>
    <m/>
    <n v="120"/>
  </r>
  <r>
    <x v="0"/>
    <d v="2026-01-01T00:00:00"/>
    <s v="00-Prod Dev"/>
    <x v="29"/>
    <n v="26"/>
    <s v="D7. Cushion Cover "/>
    <m/>
    <m/>
    <m/>
    <m/>
    <m/>
    <n v="120"/>
  </r>
  <r>
    <x v="0"/>
    <d v="2026-01-01T00:00:00"/>
    <s v="00-Prod Dev"/>
    <x v="30"/>
    <n v="27"/>
    <s v="D8. Cushion Cover "/>
    <m/>
    <m/>
    <m/>
    <m/>
    <m/>
    <n v="120"/>
  </r>
  <r>
    <x v="1"/>
    <d v="2026-01-12T00:00:00"/>
    <s v="Angelica"/>
    <x v="7"/>
    <m/>
    <s v="A1"/>
    <d v="1899-12-30T08:30:00"/>
    <d v="1899-12-30T13:15:00"/>
    <n v="400"/>
    <n v="4.75"/>
    <n v="4.25"/>
    <n v="94.117647058823536"/>
  </r>
  <r>
    <x v="1"/>
    <d v="2026-01-12T00:00:00"/>
    <s v="Angelica"/>
    <x v="15"/>
    <m/>
    <s v="C1"/>
    <d v="1899-12-30T13:15:00"/>
    <d v="1899-12-30T14:20:00"/>
    <n v="170"/>
    <n v="1.0833333333333321"/>
    <n v="1.0833333333333321"/>
    <n v="156.9230769230771"/>
  </r>
  <r>
    <x v="1"/>
    <d v="2026-01-12T00:00:00"/>
    <s v="Angelica"/>
    <x v="16"/>
    <m/>
    <s v="C2"/>
    <d v="1899-12-30T14:20:00"/>
    <d v="1899-12-30T17:30:00"/>
    <n v="223"/>
    <n v="3.1666666666666661"/>
    <n v="3.1666666666666661"/>
    <n v="70.421052631578959"/>
  </r>
  <r>
    <x v="1"/>
    <d v="2026-01-12T00:00:00"/>
    <s v="Cindy"/>
    <x v="6"/>
    <m/>
    <s v="A1"/>
    <d v="1899-12-30T09:30:00"/>
    <d v="1899-12-30T10:30:00"/>
    <n v="400"/>
    <n v="1.0000000000000004"/>
    <n v="1.0000000000000004"/>
    <n v="399.99999999999983"/>
  </r>
  <r>
    <x v="1"/>
    <d v="2026-01-12T00:00:00"/>
    <s v="Cindy"/>
    <x v="11"/>
    <m/>
    <s v="B3"/>
    <d v="1899-12-30T10:40:00"/>
    <d v="1899-12-30T15:30:00"/>
    <n v="158"/>
    <n v="4.8333333333333348"/>
    <n v="4.3333333333333348"/>
    <n v="36.461538461538446"/>
  </r>
  <r>
    <x v="1"/>
    <d v="2026-01-12T00:00:00"/>
    <s v="Cindy"/>
    <x v="24"/>
    <m/>
    <s v="D2"/>
    <d v="1899-12-30T15:35:00"/>
    <d v="1899-12-30T17:00:00"/>
    <n v="100"/>
    <n v="1.416666666666667"/>
    <n v="1.416666666666667"/>
    <n v="70.588235294117638"/>
  </r>
  <r>
    <x v="1"/>
    <d v="2026-01-12T00:00:00"/>
    <s v="Fransico"/>
    <x v="10"/>
    <m/>
    <s v="B2"/>
    <d v="1899-12-30T09:45:00"/>
    <d v="1899-12-30T14:35:00"/>
    <n v="133"/>
    <n v="4.8333333333333321"/>
    <n v="4.3333333333333321"/>
    <n v="30.692307692307701"/>
  </r>
  <r>
    <x v="1"/>
    <d v="2026-01-12T00:00:00"/>
    <s v="Jackie"/>
    <x v="12"/>
    <m/>
    <s v="B4"/>
    <d v="1899-12-30T04:45:00"/>
    <d v="1899-12-30T05:30:00"/>
    <n v="22"/>
    <n v="0.75"/>
    <n v="0.75"/>
    <n v="29.333333333333332"/>
  </r>
  <r>
    <x v="1"/>
    <d v="2026-01-12T00:00:00"/>
    <s v="Jackie"/>
    <x v="8"/>
    <m/>
    <s v="A2"/>
    <d v="1899-12-30T10:30:00"/>
    <d v="1899-12-30T16:45:00"/>
    <n v="345"/>
    <n v="6.2499999999999991"/>
    <n v="5.7499999999999991"/>
    <n v="60.000000000000007"/>
  </r>
  <r>
    <x v="1"/>
    <d v="2026-01-12T00:00:00"/>
    <s v="Julieta"/>
    <x v="8"/>
    <m/>
    <s v="A2"/>
    <d v="1899-12-30T13:40:00"/>
    <d v="1899-12-30T17:00:00"/>
    <n v="55"/>
    <n v="3.3333333333333348"/>
    <n v="3.3333333333333348"/>
    <n v="16.499999999999993"/>
  </r>
  <r>
    <x v="1"/>
    <d v="2026-01-12T00:00:00"/>
    <s v="Julieta"/>
    <x v="13"/>
    <m/>
    <s v="B5"/>
    <d v="1899-12-30T17:00:00"/>
    <d v="1899-12-30T17:30:00"/>
    <n v="15"/>
    <n v="0.49999999999999822"/>
    <n v="0.49999999999999822"/>
    <n v="30.000000000000107"/>
  </r>
  <r>
    <x v="1"/>
    <d v="2026-01-12T00:00:00"/>
    <s v="Maricela"/>
    <x v="9"/>
    <m/>
    <s v="B1"/>
    <d v="1899-12-30T08:30:00"/>
    <d v="1899-12-30T11:10:00"/>
    <n v="400"/>
    <n v="2.6666666666666665"/>
    <n v="2.6666666666666665"/>
    <n v="150"/>
  </r>
  <r>
    <x v="1"/>
    <d v="2026-01-12T00:00:00"/>
    <s v="Maricela"/>
    <x v="11"/>
    <m/>
    <s v="B3"/>
    <d v="1899-12-30T11:35:00"/>
    <d v="1899-12-30T15:20:00"/>
    <n v="242"/>
    <n v="3.7499999999999987"/>
    <n v="3.7499999999999987"/>
    <n v="64.53333333333336"/>
  </r>
  <r>
    <x v="1"/>
    <d v="2026-01-12T00:00:00"/>
    <s v="Maricela"/>
    <x v="12"/>
    <m/>
    <s v="B4"/>
    <d v="1899-12-30T15:20:00"/>
    <d v="1899-12-30T16:50:00"/>
    <n v="55"/>
    <n v="1.5"/>
    <n v="1.5"/>
    <n v="36.666666666666664"/>
  </r>
  <r>
    <x v="1"/>
    <d v="2026-01-12T00:00:00"/>
    <s v="Noe"/>
    <x v="10"/>
    <m/>
    <s v="B2"/>
    <d v="1899-12-30T09:45:00"/>
    <d v="1899-12-30T14:35:00"/>
    <n v="133"/>
    <n v="4.8333333333333321"/>
    <n v="4.3333333333333321"/>
    <n v="30.692307692307701"/>
  </r>
  <r>
    <x v="1"/>
    <d v="2026-01-12T00:00:00"/>
    <s v="Oralia R"/>
    <x v="15"/>
    <m/>
    <s v="C1"/>
    <d v="1899-12-30T11:35:00"/>
    <d v="1899-12-30T14:45:00"/>
    <n v="230"/>
    <n v="3.1666666666666674"/>
    <n v="3.1666666666666674"/>
    <n v="72.631578947368411"/>
  </r>
  <r>
    <x v="1"/>
    <d v="2026-01-12T00:00:00"/>
    <s v="Oralia R"/>
    <x v="16"/>
    <m/>
    <s v="C2"/>
    <d v="1899-12-30T15:00:00"/>
    <d v="1899-12-30T17:30:00"/>
    <n v="177"/>
    <n v="2.4999999999999991"/>
    <n v="2.4999999999999991"/>
    <n v="70.800000000000026"/>
  </r>
  <r>
    <x v="1"/>
    <d v="2026-01-12T00:00:00"/>
    <s v="Patty"/>
    <x v="10"/>
    <m/>
    <s v="B2"/>
    <d v="1899-12-30T09:45:00"/>
    <d v="1899-12-30T14:35:00"/>
    <n v="134"/>
    <n v="4.8333333333333321"/>
    <n v="4.3333333333333321"/>
    <n v="30.92307692307693"/>
  </r>
  <r>
    <x v="1"/>
    <d v="2026-01-13T00:00:00"/>
    <s v="Angelica"/>
    <x v="17"/>
    <m/>
    <s v="C3"/>
    <d v="1899-12-30T06:00:00"/>
    <d v="1899-12-30T08:50:00"/>
    <n v="223"/>
    <n v="2.8333333333333339"/>
    <n v="2.8333333333333339"/>
    <n v="78.70588235294116"/>
  </r>
  <r>
    <x v="1"/>
    <d v="2026-01-13T00:00:00"/>
    <s v="Angelica"/>
    <x v="20"/>
    <m/>
    <s v="C6"/>
    <d v="1899-12-30T08:50:00"/>
    <d v="1899-12-30T12:40:00"/>
    <n v="200"/>
    <n v="3.833333333333333"/>
    <n v="3.333333333333333"/>
    <n v="60.000000000000007"/>
  </r>
  <r>
    <x v="1"/>
    <d v="2026-01-13T00:00:00"/>
    <s v="Angelica"/>
    <x v="19"/>
    <m/>
    <s v="C5"/>
    <d v="1899-12-30T12:40:00"/>
    <d v="1899-12-30T14:47:00"/>
    <n v="175"/>
    <n v="2.1166666666666671"/>
    <n v="2.1166666666666671"/>
    <n v="82.677165354330697"/>
  </r>
  <r>
    <x v="1"/>
    <d v="2026-01-13T00:00:00"/>
    <s v="Angelica"/>
    <x v="22"/>
    <m/>
    <s v="C8"/>
    <d v="1899-12-30T14:47:00"/>
    <d v="1899-12-30T16:30:00"/>
    <n v="100"/>
    <n v="1.7166666666666659"/>
    <n v="1.7166666666666659"/>
    <n v="58.252427184466043"/>
  </r>
  <r>
    <x v="1"/>
    <d v="2026-01-13T00:00:00"/>
    <s v="Cindy"/>
    <x v="23"/>
    <m/>
    <s v="D1"/>
    <d v="1899-12-30T06:00:00"/>
    <d v="1899-12-30T14:35:00"/>
    <n v="300"/>
    <n v="8.5833333333333321"/>
    <n v="8.0833333333333321"/>
    <n v="37.113402061855673"/>
  </r>
  <r>
    <x v="1"/>
    <d v="2026-01-13T00:00:00"/>
    <s v="Cindy"/>
    <x v="21"/>
    <m/>
    <s v="C7"/>
    <d v="1899-12-30T14:45:00"/>
    <d v="1899-12-30T16:30:00"/>
    <n v="123"/>
    <n v="1.7499999999999991"/>
    <n v="1.7499999999999991"/>
    <n v="70.28571428571432"/>
  </r>
  <r>
    <x v="1"/>
    <d v="2026-01-13T00:00:00"/>
    <s v="Jackie"/>
    <x v="13"/>
    <m/>
    <s v="B5"/>
    <d v="1899-12-30T06:00:00"/>
    <d v="1899-12-30T09:25:00"/>
    <n v="160"/>
    <n v="3.4166666666666665"/>
    <n v="3.4166666666666665"/>
    <n v="46.829268292682926"/>
  </r>
  <r>
    <x v="1"/>
    <d v="2026-01-13T00:00:00"/>
    <s v="Jackie"/>
    <x v="12"/>
    <m/>
    <s v="B4"/>
    <d v="1899-12-30T09:30:00"/>
    <d v="1899-12-30T11:45:00"/>
    <n v="120"/>
    <n v="2.25"/>
    <n v="1.75"/>
    <n v="68.571428571428569"/>
  </r>
  <r>
    <x v="1"/>
    <d v="2026-01-13T00:00:00"/>
    <s v="Jackie"/>
    <x v="14"/>
    <m/>
    <s v="B6"/>
    <d v="1899-12-30T11:45:00"/>
    <d v="1899-12-30T14:00:00"/>
    <n v="100"/>
    <n v="2.2500000000000013"/>
    <n v="2.2500000000000013"/>
    <n v="44.444444444444422"/>
  </r>
  <r>
    <x v="1"/>
    <d v="2026-01-13T00:00:00"/>
    <s v="Jackie"/>
    <x v="17"/>
    <m/>
    <s v="C3"/>
    <d v="1899-12-30T14:00:00"/>
    <d v="1899-12-30T14:52:00"/>
    <n v="110"/>
    <n v="0.86666666666666625"/>
    <n v="0.86666666666666625"/>
    <n v="126.92307692307699"/>
  </r>
  <r>
    <x v="1"/>
    <d v="2026-01-13T00:00:00"/>
    <s v="Jackie"/>
    <x v="22"/>
    <m/>
    <s v="C8"/>
    <d v="1899-12-30T15:44:00"/>
    <d v="1899-12-30T16:30:00"/>
    <n v="75"/>
    <n v="0.76666666666666661"/>
    <n v="0.76666666666666661"/>
    <n v="97.826086956521749"/>
  </r>
  <r>
    <x v="1"/>
    <d v="2026-01-13T00:00:00"/>
    <s v="Julieta"/>
    <x v="12"/>
    <m/>
    <s v="B4"/>
    <d v="1899-12-30T06:00:00"/>
    <d v="1899-12-30T08:20:00"/>
    <n v="116"/>
    <n v="2.333333333333333"/>
    <n v="2.333333333333333"/>
    <n v="49.714285714285722"/>
  </r>
  <r>
    <x v="1"/>
    <d v="2026-01-13T00:00:00"/>
    <s v="Julieta"/>
    <x v="25"/>
    <m/>
    <s v="D3"/>
    <d v="1899-12-30T08:20:00"/>
    <d v="1899-12-30T16:30:00"/>
    <n v="196"/>
    <n v="8.1666666666666679"/>
    <n v="7.6666666666666679"/>
    <n v="25.565217391304344"/>
  </r>
  <r>
    <x v="1"/>
    <d v="2026-01-13T00:00:00"/>
    <s v="Maricela"/>
    <x v="13"/>
    <m/>
    <s v="B5"/>
    <d v="1899-12-30T06:00:00"/>
    <d v="1899-12-30T09:00:00"/>
    <n v="192"/>
    <n v="3"/>
    <n v="3"/>
    <n v="64"/>
  </r>
  <r>
    <x v="1"/>
    <d v="2026-01-13T00:00:00"/>
    <s v="Maricela"/>
    <x v="12"/>
    <m/>
    <s v="B4"/>
    <d v="1899-12-30T09:00:00"/>
    <d v="1899-12-30T11:50:00"/>
    <n v="165"/>
    <n v="2.8333333333333339"/>
    <n v="2.3333333333333339"/>
    <n v="70.714285714285694"/>
  </r>
  <r>
    <x v="1"/>
    <d v="2026-01-13T00:00:00"/>
    <s v="Maricela"/>
    <x v="26"/>
    <m/>
    <s v="D4"/>
    <d v="1899-12-30T11:50:00"/>
    <d v="1899-12-30T14:30:00"/>
    <n v="177"/>
    <n v="2.6666666666666652"/>
    <n v="2.6666666666666652"/>
    <n v="66.375000000000043"/>
  </r>
  <r>
    <x v="1"/>
    <d v="2026-01-13T00:00:00"/>
    <s v="Maricela"/>
    <x v="22"/>
    <m/>
    <s v="C8"/>
    <d v="1899-12-30T14:40:00"/>
    <d v="1899-12-30T16:30:00"/>
    <n v="160"/>
    <n v="1.8333333333333321"/>
    <n v="1.8333333333333321"/>
    <n v="87.272727272727323"/>
  </r>
  <r>
    <x v="1"/>
    <d v="2026-01-13T00:00:00"/>
    <s v="Oralia R"/>
    <x v="17"/>
    <m/>
    <s v="C3"/>
    <d v="1899-12-30T06:00:00"/>
    <d v="1899-12-30T08:50:00"/>
    <n v="177"/>
    <n v="2.8333333333333339"/>
    <n v="2.8333333333333339"/>
    <n v="62.470588235294102"/>
  </r>
  <r>
    <x v="1"/>
    <d v="2026-01-13T00:00:00"/>
    <s v="Oralia R"/>
    <x v="20"/>
    <m/>
    <s v="C6"/>
    <d v="1899-12-30T09:00:00"/>
    <d v="1899-12-30T13:00:00"/>
    <n v="200"/>
    <n v="3.9999999999999991"/>
    <n v="3.4999999999999991"/>
    <n v="57.14285714285716"/>
  </r>
  <r>
    <x v="1"/>
    <d v="2026-01-13T00:00:00"/>
    <s v="Oralia R"/>
    <x v="19"/>
    <m/>
    <s v="C5"/>
    <d v="1899-12-30T13:00:00"/>
    <d v="1899-12-30T14:40:00"/>
    <n v="115"/>
    <n v="1.6666666666666687"/>
    <n v="1.6666666666666687"/>
    <n v="68.999999999999915"/>
  </r>
  <r>
    <x v="1"/>
    <d v="2026-01-13T00:00:00"/>
    <s v="Oralia R"/>
    <x v="21"/>
    <m/>
    <s v="C7"/>
    <d v="1899-12-30T14:45:00"/>
    <d v="1899-12-30T16:30:00"/>
    <n v="235"/>
    <n v="1.7499999999999991"/>
    <n v="1.7499999999999991"/>
    <n v="134.28571428571436"/>
  </r>
  <r>
    <x v="1"/>
    <d v="2026-01-13T00:00:00"/>
    <s v="Patty"/>
    <x v="14"/>
    <m/>
    <s v="B6"/>
    <d v="1899-12-30T12:30:00"/>
    <d v="1899-12-30T15:30:00"/>
    <n v="150"/>
    <n v="3"/>
    <n v="3"/>
    <n v="50"/>
  </r>
  <r>
    <x v="1"/>
    <d v="2026-01-13T00:00:00"/>
    <s v="Pilar"/>
    <x v="18"/>
    <m/>
    <s v="C4"/>
    <d v="1899-12-30T07:50:00"/>
    <d v="1899-12-30T12:30:00"/>
    <n v="278"/>
    <n v="4.6666666666666679"/>
    <n v="4.1666666666666679"/>
    <n v="66.719999999999985"/>
  </r>
  <r>
    <x v="1"/>
    <d v="2026-01-13T00:00:00"/>
    <s v="Pilar"/>
    <x v="14"/>
    <m/>
    <s v="B6"/>
    <d v="1899-12-30T12:30:00"/>
    <d v="1899-12-30T15:30:00"/>
    <n v="150"/>
    <n v="3"/>
    <n v="3"/>
    <n v="50"/>
  </r>
  <r>
    <x v="2"/>
    <d v="2026-01-14T00:00:00"/>
    <s v="Cindy"/>
    <x v="23"/>
    <n v="20"/>
    <s v="D1"/>
    <d v="1899-12-30T02:00:00"/>
    <d v="1899-12-30T04:30:00"/>
    <n v="100"/>
    <n v="2.5"/>
    <n v="2.5"/>
    <n v="40"/>
  </r>
  <r>
    <x v="2"/>
    <d v="2026-01-14T00:00:00"/>
    <s v="Cindy"/>
    <x v="6"/>
    <n v="3"/>
    <s v="Prep"/>
    <d v="1899-12-30T06:35:00"/>
    <d v="1899-12-30T08:30:00"/>
    <n v="400"/>
    <n v="1.9166666666666665"/>
    <n v="1.9166666666666665"/>
    <n v="208.69565217391306"/>
  </r>
  <r>
    <x v="2"/>
    <d v="2026-01-14T00:00:00"/>
    <s v="Cindy"/>
    <x v="24"/>
    <n v="21"/>
    <s v="D2"/>
    <d v="1899-12-30T08:40:00"/>
    <d v="1899-12-30T14:00:00"/>
    <n v="400"/>
    <n v="5.3333333333333339"/>
    <n v="4.8333333333333339"/>
    <n v="82.75862068965516"/>
  </r>
  <r>
    <x v="2"/>
    <d v="2026-01-14T00:00:00"/>
    <s v="Fransico"/>
    <x v="10"/>
    <n v="7"/>
    <s v="B2"/>
    <d v="1899-12-30T07:45:00"/>
    <d v="1899-12-30T09:15:00"/>
    <n v="100"/>
    <n v="1.5"/>
    <n v="1.5"/>
    <n v="66.666666666666671"/>
  </r>
  <r>
    <x v="2"/>
    <d v="2026-01-14T00:00:00"/>
    <s v="Noe"/>
    <x v="10"/>
    <n v="7"/>
    <s v="B2"/>
    <d v="1899-12-30T07:45:00"/>
    <d v="1899-12-30T09:15:00"/>
    <n v="100"/>
    <n v="1.5"/>
    <n v="1.5"/>
    <n v="66.666666666666671"/>
  </r>
  <r>
    <x v="2"/>
    <d v="2026-01-14T00:00:00"/>
    <s v="Oralia R"/>
    <x v="9"/>
    <n v="6"/>
    <s v="B1"/>
    <d v="1899-12-30T07:15:00"/>
    <d v="1899-12-30T07:45:00"/>
    <n v="36"/>
    <n v="0.50000000000000089"/>
    <n v="0.50000000000000089"/>
    <n v="71.999999999999872"/>
  </r>
  <r>
    <x v="2"/>
    <d v="2026-01-14T00:00:00"/>
    <s v="Oralia R"/>
    <x v="7"/>
    <n v="4"/>
    <s v="A1"/>
    <d v="1899-12-30T12:10:00"/>
    <d v="1899-12-30T16:20:00"/>
    <n v="200"/>
    <n v="4.1666666666666679"/>
    <n v="4.1666666666666679"/>
    <n v="47.999999999999986"/>
  </r>
  <r>
    <x v="2"/>
    <d v="2026-01-14T00:00:00"/>
    <s v="Oralia S"/>
    <x v="9"/>
    <n v="6"/>
    <s v="B1"/>
    <d v="1899-12-30T06:00:00"/>
    <d v="1899-12-30T08:10:00"/>
    <n v="364"/>
    <n v="2.166666666666667"/>
    <n v="2.166666666666667"/>
    <n v="167.99999999999997"/>
  </r>
  <r>
    <x v="2"/>
    <d v="2026-01-14T00:00:00"/>
    <s v="Oralia S"/>
    <x v="11"/>
    <n v="8"/>
    <s v="B3"/>
    <d v="1899-12-30T12:10:00"/>
    <d v="1899-12-30T16:30:00"/>
    <n v="382"/>
    <n v="4.3333333333333339"/>
    <n v="4.3333333333333339"/>
    <n v="88.153846153846146"/>
  </r>
  <r>
    <x v="2"/>
    <d v="2026-01-14T00:00:00"/>
    <s v="Patty"/>
    <x v="10"/>
    <n v="7"/>
    <s v="B2"/>
    <d v="1899-12-30T07:45:00"/>
    <d v="1899-12-30T11:00:00"/>
    <n v="200"/>
    <n v="3.2499999999999991"/>
    <n v="3.2499999999999991"/>
    <n v="61.538461538461554"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  <r>
    <x v="3"/>
    <m/>
    <m/>
    <x v="3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6956E-50C9-2545-8A27-91AF34F3483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72" firstHeaderRow="1" firstDataRow="1" firstDataCol="1" rowPageCount="1" colPageCount="1"/>
  <pivotFields count="12">
    <pivotField axis="axisPage" multipleItemSelectionAllowed="1" showAll="0">
      <items count="5">
        <item x="0"/>
        <item h="1" x="1"/>
        <item x="2"/>
        <item h="1" x="3"/>
        <item t="default"/>
      </items>
    </pivotField>
    <pivotField numFmtId="14"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0" hier="-1"/>
  </pageFields>
  <dataFields count="1">
    <dataField name="Sum of Completed Units" fld="8" baseField="0" baseItem="0" numFmtId="38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780F-D901-5C47-8271-B506CF336A2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6" firstHeaderRow="1" firstDataRow="2" firstDataCol="1"/>
  <pivotFields count="12">
    <pivotField showAll="0"/>
    <pivotField numFmtId="1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x="12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Rate/Hour" fld="11" subtotal="average" baseField="0" baseItem="0" numFmtId="38"/>
  </dataFields>
  <formats count="1">
    <format dxfId="2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file:///Company/Drawings/INDUSTRIAL%20T/Tenjam/25JAM001%20RE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8374-4AAE-AA45-BBF3-5EF93306571E}">
  <dimension ref="A1:AB36"/>
  <sheetViews>
    <sheetView tabSelected="1" zoomScaleNormal="100" workbookViewId="0">
      <pane ySplit="2" topLeftCell="A3" activePane="bottomLeft" state="frozen"/>
      <selection pane="bottomLeft" activeCell="G7" sqref="G7"/>
    </sheetView>
  </sheetViews>
  <sheetFormatPr baseColWidth="10" defaultRowHeight="12"/>
  <cols>
    <col min="1" max="1" width="5" style="38" bestFit="1" customWidth="1"/>
    <col min="2" max="2" width="7.5" style="38" customWidth="1"/>
    <col min="3" max="3" width="20.1640625" style="38" bestFit="1" customWidth="1"/>
    <col min="4" max="4" width="55.1640625" style="38" bestFit="1" customWidth="1"/>
    <col min="5" max="5" width="8.5" style="38" customWidth="1"/>
    <col min="6" max="6" width="14.5" style="38" bestFit="1" customWidth="1"/>
    <col min="7" max="7" width="9.1640625" style="38" customWidth="1"/>
    <col min="8" max="8" width="10.5" style="38" bestFit="1" customWidth="1"/>
    <col min="9" max="9" width="9.5" style="38" bestFit="1" customWidth="1"/>
    <col min="10" max="10" width="10.83203125" style="38" bestFit="1" customWidth="1"/>
    <col min="11" max="11" width="10.33203125" style="38" bestFit="1" customWidth="1"/>
    <col min="12" max="12" width="11.33203125" style="38" bestFit="1" customWidth="1"/>
    <col min="13" max="13" width="10.83203125" style="38"/>
    <col min="14" max="14" width="13.83203125" style="38" bestFit="1" customWidth="1"/>
    <col min="15" max="16384" width="10.83203125" style="38"/>
  </cols>
  <sheetData>
    <row r="1" spans="1:28">
      <c r="E1" s="39" t="s">
        <v>358</v>
      </c>
      <c r="F1" s="40"/>
      <c r="G1" s="40"/>
      <c r="H1" s="40"/>
      <c r="I1" s="40"/>
      <c r="J1" s="40"/>
      <c r="K1" s="40"/>
      <c r="L1" s="41"/>
      <c r="M1" s="39" t="s">
        <v>360</v>
      </c>
      <c r="N1" s="40"/>
      <c r="O1" s="40"/>
      <c r="P1" s="40"/>
      <c r="Q1" s="40"/>
      <c r="R1" s="40"/>
      <c r="S1" s="40"/>
      <c r="T1" s="41"/>
      <c r="U1" s="39" t="s">
        <v>361</v>
      </c>
      <c r="V1" s="40"/>
      <c r="W1" s="40"/>
      <c r="X1" s="40"/>
      <c r="Y1" s="40"/>
      <c r="Z1" s="40"/>
      <c r="AA1" s="40"/>
      <c r="AB1" s="41"/>
    </row>
    <row r="2" spans="1:28" ht="27" thickBot="1">
      <c r="A2" s="69" t="s">
        <v>116</v>
      </c>
      <c r="B2" s="70" t="s">
        <v>196</v>
      </c>
      <c r="C2" s="42" t="s">
        <v>118</v>
      </c>
      <c r="D2" s="42" t="s">
        <v>119</v>
      </c>
      <c r="E2" s="43" t="s">
        <v>359</v>
      </c>
      <c r="F2" s="44" t="s">
        <v>346</v>
      </c>
      <c r="G2" s="44" t="s">
        <v>347</v>
      </c>
      <c r="H2" s="44" t="s">
        <v>348</v>
      </c>
      <c r="I2" s="44" t="s">
        <v>302</v>
      </c>
      <c r="J2" s="44" t="s">
        <v>303</v>
      </c>
      <c r="K2" s="44" t="s">
        <v>349</v>
      </c>
      <c r="L2" s="45" t="s">
        <v>350</v>
      </c>
      <c r="M2" s="43" t="s">
        <v>359</v>
      </c>
      <c r="N2" s="44" t="s">
        <v>346</v>
      </c>
      <c r="O2" s="44" t="s">
        <v>347</v>
      </c>
      <c r="P2" s="44" t="s">
        <v>348</v>
      </c>
      <c r="Q2" s="44" t="s">
        <v>302</v>
      </c>
      <c r="R2" s="44" t="s">
        <v>303</v>
      </c>
      <c r="S2" s="44" t="s">
        <v>349</v>
      </c>
      <c r="T2" s="45" t="s">
        <v>350</v>
      </c>
      <c r="U2" s="43" t="s">
        <v>359</v>
      </c>
      <c r="V2" s="44" t="s">
        <v>346</v>
      </c>
      <c r="W2" s="44" t="s">
        <v>347</v>
      </c>
      <c r="X2" s="44" t="s">
        <v>348</v>
      </c>
      <c r="Y2" s="44" t="s">
        <v>302</v>
      </c>
      <c r="Z2" s="44" t="s">
        <v>303</v>
      </c>
      <c r="AA2" s="44" t="s">
        <v>349</v>
      </c>
      <c r="AB2" s="45" t="s">
        <v>350</v>
      </c>
    </row>
    <row r="3" spans="1:28">
      <c r="A3" s="46" t="str">
        <f>'Work Steps'!C2</f>
        <v>CFA1</v>
      </c>
      <c r="B3" s="71">
        <f>'Work Steps'!D2</f>
        <v>1</v>
      </c>
      <c r="C3" s="47" t="str">
        <f>'Work Steps'!F2</f>
        <v>Fabric</v>
      </c>
      <c r="D3" s="48" t="str">
        <f>'Work Steps'!G2</f>
        <v>Cut Fabric</v>
      </c>
      <c r="E3" s="49">
        <f>INDEX(Analysis!$S$5:$Y$35,MATCH('Prod Plan 0115'!$A3,Analysis!$S$5:$S$35,0),4)</f>
        <v>0</v>
      </c>
      <c r="F3" s="47"/>
      <c r="G3" s="50">
        <f>INDEX(Analysis!$S$5:$Y$35,MATCH('Prod Plan 0115'!$A3,Analysis!$S$5:$S$35,0),7)</f>
        <v>0</v>
      </c>
      <c r="H3" s="50"/>
      <c r="I3" s="51"/>
      <c r="J3" s="51"/>
      <c r="K3" s="52"/>
      <c r="L3" s="53">
        <f>IF(E3=0,0,400-E3+K3)</f>
        <v>0</v>
      </c>
      <c r="M3" s="49">
        <f>E3-K3</f>
        <v>0</v>
      </c>
      <c r="N3" s="47"/>
      <c r="O3" s="50">
        <f>M3/INDEX(Analysis!$S$5:$Y$35,MATCH('Prod Plan 0115'!$A3,Analysis!$S$5:$S$35,0),3)</f>
        <v>0</v>
      </c>
      <c r="P3" s="50"/>
      <c r="Q3" s="51"/>
      <c r="R3" s="51"/>
      <c r="S3" s="52"/>
      <c r="T3" s="53">
        <f>IF(M3=0,0,400-M3+S3)</f>
        <v>0</v>
      </c>
      <c r="U3" s="49">
        <f>M3-S3</f>
        <v>0</v>
      </c>
      <c r="V3" s="47"/>
      <c r="W3" s="50">
        <f>U3/INDEX(Analysis!$S$5:$Y$35,MATCH('Prod Plan 0115'!$A3,Analysis!$S$5:$S$35,0),3)</f>
        <v>0</v>
      </c>
      <c r="X3" s="50"/>
      <c r="Y3" s="51"/>
      <c r="Z3" s="51"/>
      <c r="AA3" s="52"/>
      <c r="AB3" s="53">
        <f>IF(U3=0,0,400-U3+AA3)</f>
        <v>0</v>
      </c>
    </row>
    <row r="4" spans="1:28">
      <c r="A4" s="54" t="str">
        <f>'Work Steps'!C3</f>
        <v>CTA1</v>
      </c>
      <c r="B4" s="72">
        <f>'Work Steps'!D3</f>
        <v>2</v>
      </c>
      <c r="C4" s="38" t="str">
        <f>'Work Steps'!F3</f>
        <v>Trim</v>
      </c>
      <c r="D4" s="55" t="str">
        <f>'Work Steps'!G3</f>
        <v xml:space="preserve"> Cut Velcro</v>
      </c>
      <c r="E4" s="56">
        <f>INDEX(Analysis!$S$5:$Y$35,MATCH('Prod Plan 0115'!$A4,Analysis!$S$5:$S$35,0),4)</f>
        <v>0</v>
      </c>
      <c r="G4" s="57">
        <f>INDEX(Analysis!$S$5:$Y$35,MATCH('Prod Plan 0115'!$A4,Analysis!$S$5:$S$35,0),7)</f>
        <v>0</v>
      </c>
      <c r="H4" s="57"/>
      <c r="I4" s="58"/>
      <c r="J4" s="58"/>
      <c r="K4" s="59"/>
      <c r="L4" s="60">
        <f t="shared" ref="L4:L33" si="0">IF(E4=0,0,400-E4+K4)</f>
        <v>0</v>
      </c>
      <c r="M4" s="56">
        <f t="shared" ref="M4:M33" si="1">E4-K4</f>
        <v>0</v>
      </c>
      <c r="O4" s="57">
        <f>M4/INDEX(Analysis!$S$5:$Y$35,MATCH('Prod Plan 0115'!$A4,Analysis!$S$5:$S$35,0),3)</f>
        <v>0</v>
      </c>
      <c r="P4" s="57"/>
      <c r="Q4" s="58"/>
      <c r="R4" s="58"/>
      <c r="S4" s="59"/>
      <c r="T4" s="60">
        <f t="shared" ref="T4:T33" si="2">IF(M4=0,0,400-M4+S4)</f>
        <v>0</v>
      </c>
      <c r="U4" s="56">
        <f t="shared" ref="U4:U33" si="3">M4-S4</f>
        <v>0</v>
      </c>
      <c r="W4" s="57">
        <f>U4/INDEX(Analysis!$S$5:$Y$35,MATCH('Prod Plan 0115'!$A4,Analysis!$S$5:$S$35,0),3)</f>
        <v>0</v>
      </c>
      <c r="X4" s="57"/>
      <c r="Y4" s="58"/>
      <c r="Z4" s="58"/>
      <c r="AA4" s="59"/>
      <c r="AB4" s="60">
        <f t="shared" ref="AB4:AB33" si="4">IF(U4=0,0,400-U4+AA4)</f>
        <v>0</v>
      </c>
    </row>
    <row r="5" spans="1:28" ht="13" thickBot="1">
      <c r="A5" s="61" t="str">
        <f>'Work Steps'!C4</f>
        <v>PSA1</v>
      </c>
      <c r="B5" s="73">
        <f>'Work Steps'!D4</f>
        <v>3</v>
      </c>
      <c r="C5" s="62" t="str">
        <f>'Work Steps'!F4</f>
        <v>Fabric</v>
      </c>
      <c r="D5" s="63" t="str">
        <f>'Work Steps'!G4</f>
        <v xml:space="preserve"> Sew flag on panel</v>
      </c>
      <c r="E5" s="64">
        <f>INDEX(Analysis!$S$5:$Y$35,MATCH('Prod Plan 0115'!$A5,Analysis!$S$5:$S$35,0),4)</f>
        <v>0</v>
      </c>
      <c r="F5" s="62"/>
      <c r="G5" s="65">
        <f>INDEX(Analysis!$S$5:$Y$35,MATCH('Prod Plan 0115'!$A5,Analysis!$S$5:$S$35,0),7)</f>
        <v>0</v>
      </c>
      <c r="H5" s="65"/>
      <c r="I5" s="66"/>
      <c r="J5" s="66"/>
      <c r="K5" s="67"/>
      <c r="L5" s="68">
        <f t="shared" si="0"/>
        <v>0</v>
      </c>
      <c r="M5" s="64">
        <f t="shared" si="1"/>
        <v>0</v>
      </c>
      <c r="N5" s="62"/>
      <c r="O5" s="65">
        <f>M5/INDEX(Analysis!$S$5:$Y$35,MATCH('Prod Plan 0115'!$A5,Analysis!$S$5:$S$35,0),3)</f>
        <v>0</v>
      </c>
      <c r="P5" s="65"/>
      <c r="Q5" s="66"/>
      <c r="R5" s="66"/>
      <c r="S5" s="67"/>
      <c r="T5" s="68">
        <f t="shared" si="2"/>
        <v>0</v>
      </c>
      <c r="U5" s="64">
        <f t="shared" si="3"/>
        <v>0</v>
      </c>
      <c r="V5" s="62"/>
      <c r="W5" s="65">
        <f>U5/INDEX(Analysis!$S$5:$Y$35,MATCH('Prod Plan 0115'!$A5,Analysis!$S$5:$S$35,0),3)</f>
        <v>0</v>
      </c>
      <c r="X5" s="65"/>
      <c r="Y5" s="66"/>
      <c r="Z5" s="66"/>
      <c r="AA5" s="67"/>
      <c r="AB5" s="68">
        <f t="shared" si="4"/>
        <v>0</v>
      </c>
    </row>
    <row r="6" spans="1:28">
      <c r="A6" s="46" t="str">
        <f>'Work Steps'!C5</f>
        <v>SA1</v>
      </c>
      <c r="B6" s="71">
        <f>'Work Steps'!D5</f>
        <v>4</v>
      </c>
      <c r="C6" s="47" t="str">
        <f>'Work Steps'!F5</f>
        <v xml:space="preserve">A1. Small Velcro Pocket </v>
      </c>
      <c r="D6" s="48" t="str">
        <f>'Work Steps'!G5</f>
        <v xml:space="preserve"> Hem short edge</v>
      </c>
      <c r="E6" s="49">
        <f>INDEX(Analysis!$S$5:$Y$35,MATCH('Prod Plan 0115'!$A6,Analysis!$S$5:$S$35,0),4)</f>
        <v>200</v>
      </c>
      <c r="F6" s="47" t="s">
        <v>363</v>
      </c>
      <c r="G6" s="50">
        <f>INDEX(Analysis!$S$5:$Y$35,MATCH('Prod Plan 0115'!$A6,Analysis!$S$5:$S$35,0),7)</f>
        <v>2.814569536423841</v>
      </c>
      <c r="H6" s="50">
        <v>1</v>
      </c>
      <c r="I6" s="51">
        <v>0.25</v>
      </c>
      <c r="J6" s="51">
        <f>IF((I6+(G6/H6)/24)+(0.5/24)&gt;0.6875,0.6875,(I6+(G6/H6)/24)+(0.5/24))</f>
        <v>0.38810706401766004</v>
      </c>
      <c r="K6" s="52">
        <f>IF((((J6-I6)*24)*H6)*INDEX(Analysis!$S$5:$Y$35,MATCH('Prod Plan 0115'!$A6,Analysis!$S$5:$S$35,0),3)&gt;E6,E6,(((J6-I6)*24)*H6)*INDEX(Analysis!$S$5:$Y$35,MATCH('Prod Plan 0115'!$A6,Analysis!$S$5:$S$35,0),3))</f>
        <v>200</v>
      </c>
      <c r="L6" s="53">
        <f t="shared" si="0"/>
        <v>400</v>
      </c>
      <c r="M6" s="49">
        <f t="shared" si="1"/>
        <v>0</v>
      </c>
      <c r="N6" s="47"/>
      <c r="O6" s="50">
        <f>M6/INDEX(Analysis!$S$5:$Y$35,MATCH('Prod Plan 0115'!$A6,Analysis!$S$5:$S$35,0),3)</f>
        <v>0</v>
      </c>
      <c r="P6" s="50"/>
      <c r="Q6" s="51"/>
      <c r="R6" s="51"/>
      <c r="S6" s="52"/>
      <c r="T6" s="53">
        <f t="shared" si="2"/>
        <v>0</v>
      </c>
      <c r="U6" s="49">
        <f t="shared" si="3"/>
        <v>0</v>
      </c>
      <c r="V6" s="47"/>
      <c r="W6" s="50">
        <f>U6/INDEX(Analysis!$S$5:$Y$35,MATCH('Prod Plan 0115'!$A6,Analysis!$S$5:$S$35,0),3)</f>
        <v>0</v>
      </c>
      <c r="X6" s="50"/>
      <c r="Y6" s="51"/>
      <c r="Z6" s="51"/>
      <c r="AA6" s="52"/>
      <c r="AB6" s="53">
        <f t="shared" si="4"/>
        <v>0</v>
      </c>
    </row>
    <row r="7" spans="1:28" ht="13" thickBot="1">
      <c r="A7" s="61" t="str">
        <f>'Work Steps'!C6</f>
        <v>SA2</v>
      </c>
      <c r="B7" s="73">
        <f>'Work Steps'!D6</f>
        <v>5</v>
      </c>
      <c r="C7" s="62" t="str">
        <f>'Work Steps'!F6</f>
        <v xml:space="preserve">A2. Small Velcro Pocket </v>
      </c>
      <c r="D7" s="63" t="str">
        <f>'Work Steps'!G6</f>
        <v xml:space="preserve"> Sew hook velcro</v>
      </c>
      <c r="E7" s="64">
        <f>INDEX(Analysis!$S$5:$Y$35,MATCH('Prod Plan 0115'!$A7,Analysis!$S$5:$S$35,0),4)</f>
        <v>400</v>
      </c>
      <c r="F7" s="62" t="s">
        <v>232</v>
      </c>
      <c r="G7" s="65">
        <f>INDEX(Analysis!$S$5:$Y$35,MATCH('Prod Plan 0115'!$A7,Analysis!$S$5:$S$35,0),7)</f>
        <v>10.457516339869281</v>
      </c>
      <c r="H7" s="65">
        <v>1</v>
      </c>
      <c r="I7" s="66">
        <v>0.25</v>
      </c>
      <c r="J7" s="66">
        <f>IF((I7+(G7/H7)/24)+(0.5/24)&gt;0.6875,0.6875,(I7+(G7/H7)/24)+(0.5/24))</f>
        <v>0.6875</v>
      </c>
      <c r="K7" s="67">
        <f>IF((((J7-I7)*24)*H7)*INDEX(Analysis!$S$5:$Y$35,MATCH('Prod Plan 0115'!$A7,Analysis!$S$5:$S$35,0),3)&gt;E7,E7,(((J7-I7)*24)*H7)*INDEX(Analysis!$S$5:$Y$35,MATCH('Prod Plan 0115'!$A7,Analysis!$S$5:$S$35,0),3))</f>
        <v>400</v>
      </c>
      <c r="L7" s="68">
        <f t="shared" si="0"/>
        <v>400</v>
      </c>
      <c r="M7" s="64">
        <f t="shared" si="1"/>
        <v>0</v>
      </c>
      <c r="N7" s="62"/>
      <c r="O7" s="65">
        <f>M7/INDEX(Analysis!$S$5:$Y$35,MATCH('Prod Plan 0115'!$A7,Analysis!$S$5:$S$35,0),3)</f>
        <v>0</v>
      </c>
      <c r="P7" s="65"/>
      <c r="Q7" s="66"/>
      <c r="R7" s="66"/>
      <c r="S7" s="67"/>
      <c r="T7" s="68">
        <f t="shared" si="2"/>
        <v>0</v>
      </c>
      <c r="U7" s="64">
        <f t="shared" si="3"/>
        <v>0</v>
      </c>
      <c r="V7" s="62"/>
      <c r="W7" s="65">
        <f>U7/INDEX(Analysis!$S$5:$Y$35,MATCH('Prod Plan 0115'!$A7,Analysis!$S$5:$S$35,0),3)</f>
        <v>0</v>
      </c>
      <c r="X7" s="65"/>
      <c r="Y7" s="66"/>
      <c r="Z7" s="66"/>
      <c r="AA7" s="67"/>
      <c r="AB7" s="68">
        <f t="shared" si="4"/>
        <v>0</v>
      </c>
    </row>
    <row r="8" spans="1:28">
      <c r="A8" s="46" t="str">
        <f>'Work Steps'!C7</f>
        <v>SB1</v>
      </c>
      <c r="B8" s="71">
        <f>'Work Steps'!D7</f>
        <v>6</v>
      </c>
      <c r="C8" s="47" t="str">
        <f>'Work Steps'!F7</f>
        <v xml:space="preserve">B1. Connector Strap </v>
      </c>
      <c r="D8" s="48" t="str">
        <f>'Work Steps'!G7</f>
        <v xml:space="preserve"> Sew the panel together along the long sides</v>
      </c>
      <c r="E8" s="49">
        <f>INDEX(Analysis!$S$5:$Y$35,MATCH('Prod Plan 0115'!$A8,Analysis!$S$5:$S$35,0),4)</f>
        <v>0</v>
      </c>
      <c r="F8" s="47"/>
      <c r="G8" s="50">
        <f>INDEX(Analysis!$S$5:$Y$35,MATCH('Prod Plan 0115'!$A8,Analysis!$S$5:$S$35,0),7)</f>
        <v>0</v>
      </c>
      <c r="H8" s="50"/>
      <c r="I8" s="51"/>
      <c r="J8" s="51"/>
      <c r="K8" s="52"/>
      <c r="L8" s="53">
        <f t="shared" si="0"/>
        <v>0</v>
      </c>
      <c r="M8" s="49">
        <f t="shared" si="1"/>
        <v>0</v>
      </c>
      <c r="N8" s="47"/>
      <c r="O8" s="50">
        <f>M8/INDEX(Analysis!$S$5:$Y$35,MATCH('Prod Plan 0115'!$A8,Analysis!$S$5:$S$35,0),3)</f>
        <v>0</v>
      </c>
      <c r="P8" s="50"/>
      <c r="Q8" s="51"/>
      <c r="R8" s="51"/>
      <c r="S8" s="52"/>
      <c r="T8" s="53">
        <f t="shared" si="2"/>
        <v>0</v>
      </c>
      <c r="U8" s="49">
        <f t="shared" si="3"/>
        <v>0</v>
      </c>
      <c r="V8" s="47"/>
      <c r="W8" s="50">
        <f>U8/INDEX(Analysis!$S$5:$Y$35,MATCH('Prod Plan 0115'!$A8,Analysis!$S$5:$S$35,0),3)</f>
        <v>0</v>
      </c>
      <c r="X8" s="50"/>
      <c r="Y8" s="51"/>
      <c r="Z8" s="51"/>
      <c r="AA8" s="52"/>
      <c r="AB8" s="53">
        <f t="shared" si="4"/>
        <v>0</v>
      </c>
    </row>
    <row r="9" spans="1:28">
      <c r="A9" s="54" t="str">
        <f>'Work Steps'!C8</f>
        <v>SB2</v>
      </c>
      <c r="B9" s="72">
        <f>'Work Steps'!D8</f>
        <v>7</v>
      </c>
      <c r="C9" s="38" t="str">
        <f>'Work Steps'!F8</f>
        <v xml:space="preserve">B2. Connector Strap </v>
      </c>
      <c r="D9" s="76" t="str">
        <f>'Work Steps'!G8</f>
        <v xml:space="preserve"> Turn inside out</v>
      </c>
      <c r="E9" s="56">
        <f>INDEX(Analysis!$S$5:$Y$35,MATCH('Prod Plan 0115'!$A9,Analysis!$S$5:$S$35,0),4)</f>
        <v>0</v>
      </c>
      <c r="G9" s="57">
        <f>INDEX(Analysis!$S$5:$Y$35,MATCH('Prod Plan 0115'!$A9,Analysis!$S$5:$S$35,0),7)</f>
        <v>0</v>
      </c>
      <c r="H9" s="57"/>
      <c r="I9" s="58"/>
      <c r="J9" s="58"/>
      <c r="K9" s="59"/>
      <c r="L9" s="60">
        <f t="shared" si="0"/>
        <v>0</v>
      </c>
      <c r="M9" s="56">
        <f t="shared" si="1"/>
        <v>0</v>
      </c>
      <c r="O9" s="57">
        <f>M9/INDEX(Analysis!$S$5:$Y$35,MATCH('Prod Plan 0115'!$A9,Analysis!$S$5:$S$35,0),3)</f>
        <v>0</v>
      </c>
      <c r="P9" s="57"/>
      <c r="Q9" s="58"/>
      <c r="R9" s="58"/>
      <c r="S9" s="59"/>
      <c r="T9" s="60">
        <f t="shared" si="2"/>
        <v>0</v>
      </c>
      <c r="U9" s="56">
        <f t="shared" si="3"/>
        <v>0</v>
      </c>
      <c r="W9" s="57">
        <f>U9/INDEX(Analysis!$S$5:$Y$35,MATCH('Prod Plan 0115'!$A9,Analysis!$S$5:$S$35,0),3)</f>
        <v>0</v>
      </c>
      <c r="X9" s="57"/>
      <c r="Y9" s="58"/>
      <c r="Z9" s="58"/>
      <c r="AA9" s="59"/>
      <c r="AB9" s="60">
        <f t="shared" si="4"/>
        <v>0</v>
      </c>
    </row>
    <row r="10" spans="1:28">
      <c r="A10" s="54" t="str">
        <f>'Work Steps'!C9</f>
        <v>SB3</v>
      </c>
      <c r="B10" s="72">
        <f>'Work Steps'!D9</f>
        <v>8</v>
      </c>
      <c r="C10" s="38" t="str">
        <f>'Work Steps'!F9</f>
        <v xml:space="preserve">B3. Connector Strap </v>
      </c>
      <c r="D10" s="55" t="str">
        <f>'Work Steps'!G9</f>
        <v xml:space="preserve"> Sew the 2 long sides of the connector Strap  panel</v>
      </c>
      <c r="E10" s="56">
        <f>INDEX(Analysis!$S$5:$Y$35,MATCH('Prod Plan 0115'!$A10,Analysis!$S$5:$S$35,0),4)</f>
        <v>18</v>
      </c>
      <c r="F10" s="38" t="s">
        <v>362</v>
      </c>
      <c r="G10" s="57">
        <f>INDEX(Analysis!$S$5:$Y$35,MATCH('Prod Plan 0115'!$A10,Analysis!$S$5:$S$35,0),7)</f>
        <v>0.28548964320572606</v>
      </c>
      <c r="H10" s="57">
        <v>1</v>
      </c>
      <c r="I10" s="58">
        <v>0.25</v>
      </c>
      <c r="J10" s="58">
        <f>IF((I10+(G10/H10)/24)+(0.5/24)&gt;0.6875,0.6875,(I10+(G10/H10)/24)+(0.5/24))</f>
        <v>0.28272873513357188</v>
      </c>
      <c r="K10" s="59">
        <f>IF((((J10-I10)*24)*H10)*INDEX(Analysis!$S$5:$Y$35,MATCH('Prod Plan 0115'!$A10,Analysis!$S$5:$S$35,0),3)&gt;E10,E10,(((J10-I10)*24)*H10)*INDEX(Analysis!$S$5:$Y$35,MATCH('Prod Plan 0115'!$A10,Analysis!$S$5:$S$35,0),3))</f>
        <v>18</v>
      </c>
      <c r="L10" s="60">
        <f t="shared" si="0"/>
        <v>400</v>
      </c>
      <c r="M10" s="56">
        <f t="shared" si="1"/>
        <v>0</v>
      </c>
      <c r="O10" s="57">
        <f>M10/INDEX(Analysis!$S$5:$Y$35,MATCH('Prod Plan 0115'!$A10,Analysis!$S$5:$S$35,0),3)</f>
        <v>0</v>
      </c>
      <c r="P10" s="57"/>
      <c r="Q10" s="58"/>
      <c r="R10" s="58"/>
      <c r="S10" s="59"/>
      <c r="T10" s="60">
        <f t="shared" si="2"/>
        <v>0</v>
      </c>
      <c r="U10" s="56">
        <f t="shared" si="3"/>
        <v>0</v>
      </c>
      <c r="W10" s="57">
        <f>U10/INDEX(Analysis!$S$5:$Y$35,MATCH('Prod Plan 0115'!$A10,Analysis!$S$5:$S$35,0),3)</f>
        <v>0</v>
      </c>
      <c r="X10" s="57"/>
      <c r="Y10" s="58"/>
      <c r="Z10" s="58"/>
      <c r="AA10" s="59"/>
      <c r="AB10" s="60">
        <f t="shared" si="4"/>
        <v>0</v>
      </c>
    </row>
    <row r="11" spans="1:28">
      <c r="A11" s="54" t="str">
        <f>'Work Steps'!C10</f>
        <v>SB4</v>
      </c>
      <c r="B11" s="72">
        <f>'Work Steps'!D10</f>
        <v>9</v>
      </c>
      <c r="C11" s="38" t="str">
        <f>'Work Steps'!F10</f>
        <v xml:space="preserve">B4. Connector Strap </v>
      </c>
      <c r="D11" s="55" t="str">
        <f>'Work Steps'!G10</f>
        <v>Sew the connector strap to the small Velcro pocket, add the loop Velcro.</v>
      </c>
      <c r="E11" s="56">
        <f>INDEX(Analysis!$S$5:$Y$35,MATCH('Prod Plan 0115'!$A11,Analysis!$S$5:$S$35,0),4)</f>
        <v>400</v>
      </c>
      <c r="F11" s="38" t="s">
        <v>321</v>
      </c>
      <c r="G11" s="57">
        <f>INDEX(Analysis!$S$5:$Y$35,MATCH('Prod Plan 0115'!$A11,Analysis!$S$5:$S$35,0),7)</f>
        <v>7.8762306610407888</v>
      </c>
      <c r="H11" s="57">
        <v>1</v>
      </c>
      <c r="I11" s="58">
        <v>0.25</v>
      </c>
      <c r="J11" s="58">
        <f>IF((I11+(G11/H11)/24)+(0.5/24)&gt;0.6875,0.6875,(I11+(G11/H11)/24)+(0.5/24))</f>
        <v>0.59900961087669957</v>
      </c>
      <c r="K11" s="59">
        <f>IF((((J11-I11)*24)*H11)*INDEX(Analysis!$S$5:$Y$35,MATCH('Prod Plan 0115'!$A11,Analysis!$S$5:$S$35,0),3)&gt;E11,E11,(((J11-I11)*24)*H11)*INDEX(Analysis!$S$5:$Y$35,MATCH('Prod Plan 0115'!$A11,Analysis!$S$5:$S$35,0),3))</f>
        <v>400</v>
      </c>
      <c r="L11" s="60">
        <f t="shared" si="0"/>
        <v>400</v>
      </c>
      <c r="M11" s="56">
        <f t="shared" si="1"/>
        <v>0</v>
      </c>
      <c r="O11" s="57">
        <f>M11/INDEX(Analysis!$S$5:$Y$35,MATCH('Prod Plan 0115'!$A11,Analysis!$S$5:$S$35,0),3)</f>
        <v>0</v>
      </c>
      <c r="P11" s="57"/>
      <c r="Q11" s="58"/>
      <c r="R11" s="58"/>
      <c r="S11" s="59"/>
      <c r="T11" s="60">
        <f t="shared" si="2"/>
        <v>0</v>
      </c>
      <c r="U11" s="56">
        <f t="shared" si="3"/>
        <v>0</v>
      </c>
      <c r="W11" s="57">
        <f>U11/INDEX(Analysis!$S$5:$Y$35,MATCH('Prod Plan 0115'!$A11,Analysis!$S$5:$S$35,0),3)</f>
        <v>0</v>
      </c>
      <c r="X11" s="57"/>
      <c r="Y11" s="58"/>
      <c r="Z11" s="58"/>
      <c r="AA11" s="59"/>
      <c r="AB11" s="60">
        <f t="shared" si="4"/>
        <v>0</v>
      </c>
    </row>
    <row r="12" spans="1:28">
      <c r="A12" s="54" t="str">
        <f>'Work Steps'!C11</f>
        <v>SB5</v>
      </c>
      <c r="B12" s="72">
        <f>'Work Steps'!D11</f>
        <v>10</v>
      </c>
      <c r="C12" s="38" t="str">
        <f>'Work Steps'!F11</f>
        <v xml:space="preserve">B5. Connector Strap </v>
      </c>
      <c r="D12" s="55" t="str">
        <f>'Work Steps'!G11</f>
        <v xml:space="preserve"> Close the sides of the small Velcro pocket.</v>
      </c>
      <c r="E12" s="56">
        <f>INDEX(Analysis!$S$5:$Y$35,MATCH('Prod Plan 0115'!$A12,Analysis!$S$5:$S$35,0),4)</f>
        <v>400</v>
      </c>
      <c r="F12" s="38" t="s">
        <v>365</v>
      </c>
      <c r="G12" s="57">
        <f>INDEX(Analysis!$S$5:$Y$35,MATCH('Prod Plan 0115'!$A12,Analysis!$S$5:$S$35,0),7)</f>
        <v>8.5209560096986436</v>
      </c>
      <c r="H12" s="57">
        <v>2</v>
      </c>
      <c r="I12" s="58">
        <f>J11+((5/60)/24)</f>
        <v>0.60248183309892178</v>
      </c>
      <c r="J12" s="58">
        <f>IF((I12+(G12/H12)/24)+(0.5/24)&gt;0.6875,0.6875,(I12+(G12/H12)/24)+(0.5/24))</f>
        <v>0.6875</v>
      </c>
      <c r="K12" s="59">
        <f>IF((((J12-I12)*24)*H12)*INDEX(Analysis!$S$5:$Y$35,MATCH('Prod Plan 0115'!$A12,Analysis!$S$5:$S$35,0),3)&gt;E12,E12,(((J12-I12)*24)*H12)*INDEX(Analysis!$S$5:$Y$35,MATCH('Prod Plan 0115'!$A12,Analysis!$S$5:$S$35,0),3))</f>
        <v>191.56873978022477</v>
      </c>
      <c r="L12" s="60">
        <f t="shared" si="0"/>
        <v>191.56873978022477</v>
      </c>
      <c r="M12" s="56">
        <f t="shared" si="1"/>
        <v>208.43126021977523</v>
      </c>
      <c r="N12" s="38" t="s">
        <v>321</v>
      </c>
      <c r="O12" s="57">
        <f>M12/INDEX(Analysis!$S$5:$Y$35,MATCH('Prod Plan 0115'!$A12,Analysis!$S$5:$S$35,0),3)</f>
        <v>4.4400839984468892</v>
      </c>
      <c r="P12" s="57">
        <v>1</v>
      </c>
      <c r="Q12" s="58">
        <v>0.25</v>
      </c>
      <c r="R12" s="58">
        <f>IF((Q12+(O12/P12)/24)+(0.5/24)&gt;0.6875,0.6875,(Q12+(O12/P12)/24)+(0.5/24))</f>
        <v>0.4558368332686204</v>
      </c>
      <c r="S12" s="59">
        <f>IF((((R12-Q12)*24)*P12)*INDEX(Analysis!$S$5:$Y$35,MATCH('Prod Plan 0115'!$A12,Analysis!$S$5:$S$35,0),3)&gt;M12,M12,(((R12-Q12)*24)*P12)*INDEX(Analysis!$S$5:$Y$35,MATCH('Prod Plan 0115'!$A12,Analysis!$S$5:$S$35,0),3))</f>
        <v>208.43126021977523</v>
      </c>
      <c r="T12" s="60">
        <f t="shared" si="2"/>
        <v>400</v>
      </c>
      <c r="U12" s="56">
        <f t="shared" si="3"/>
        <v>0</v>
      </c>
      <c r="W12" s="57">
        <f>U12/INDEX(Analysis!$S$5:$Y$35,MATCH('Prod Plan 0115'!$A12,Analysis!$S$5:$S$35,0),3)</f>
        <v>0</v>
      </c>
      <c r="X12" s="57"/>
      <c r="Y12" s="58"/>
      <c r="Z12" s="58"/>
      <c r="AA12" s="59"/>
      <c r="AB12" s="60">
        <f t="shared" si="4"/>
        <v>0</v>
      </c>
    </row>
    <row r="13" spans="1:28" ht="13" thickBot="1">
      <c r="A13" s="61" t="str">
        <f>'Work Steps'!C12</f>
        <v>SB6</v>
      </c>
      <c r="B13" s="73">
        <f>'Work Steps'!D12</f>
        <v>11</v>
      </c>
      <c r="C13" s="62" t="str">
        <f>'Work Steps'!F12</f>
        <v xml:space="preserve">B6. Connector Strap </v>
      </c>
      <c r="D13" s="75" t="str">
        <f>'Work Steps'!G12</f>
        <v xml:space="preserve"> Cut threads, Turn right side out, Cut corners</v>
      </c>
      <c r="E13" s="64">
        <f>INDEX(Analysis!$S$5:$Y$35,MATCH('Prod Plan 0115'!$A13,Analysis!$S$5:$S$35,0),4)</f>
        <v>400</v>
      </c>
      <c r="F13" s="62" t="s">
        <v>366</v>
      </c>
      <c r="G13" s="65">
        <f>INDEX(Analysis!$S$5:$Y$35,MATCH('Prod Plan 0115'!$A13,Analysis!$S$5:$S$35,0),7)</f>
        <v>8.3076923076923084</v>
      </c>
      <c r="H13" s="65">
        <v>2</v>
      </c>
      <c r="I13" s="66">
        <v>0.60416666666666663</v>
      </c>
      <c r="J13" s="66">
        <f>IF((I13+(G13/H13)/24)+(0.5/24)&gt;0.6875,0.6875,(I13+(G13/H13)/24)+(0.5/24))</f>
        <v>0.6875</v>
      </c>
      <c r="K13" s="67">
        <f>IF((((J13-I13)*24)*H13)*INDEX(Analysis!$S$5:$Y$35,MATCH('Prod Plan 0115'!$A13,Analysis!$S$5:$S$35,0),3)&gt;E13,E13,(((J13-I13)*24)*H13)*INDEX(Analysis!$S$5:$Y$35,MATCH('Prod Plan 0115'!$A13,Analysis!$S$5:$S$35,0),3))</f>
        <v>192.59259259259267</v>
      </c>
      <c r="L13" s="68">
        <f t="shared" si="0"/>
        <v>192.59259259259267</v>
      </c>
      <c r="M13" s="64">
        <f t="shared" si="1"/>
        <v>207.40740740740733</v>
      </c>
      <c r="N13" s="62" t="s">
        <v>226</v>
      </c>
      <c r="O13" s="65">
        <f>M13/INDEX(Analysis!$S$5:$Y$35,MATCH('Prod Plan 0115'!$A13,Analysis!$S$5:$S$35,0),3)</f>
        <v>4.3076923076923066</v>
      </c>
      <c r="P13" s="65">
        <v>1</v>
      </c>
      <c r="Q13" s="66">
        <v>0.25</v>
      </c>
      <c r="R13" s="66">
        <f>IF((Q13+(O13/P13)/24)+(0.5/24)&gt;0.6875,0.6875,(Q13+(O13/P13)/24)+(0.5/24))</f>
        <v>0.45032051282051272</v>
      </c>
      <c r="S13" s="67">
        <f>IF((((R13-Q13)*24)*P13)*INDEX(Analysis!$S$5:$Y$35,MATCH('Prod Plan 0115'!$A13,Analysis!$S$5:$S$35,0),3)&gt;M13,M13,(((R13-Q13)*24)*P13)*INDEX(Analysis!$S$5:$Y$35,MATCH('Prod Plan 0115'!$A13,Analysis!$S$5:$S$35,0),3))</f>
        <v>207.40740740740733</v>
      </c>
      <c r="T13" s="68">
        <f t="shared" si="2"/>
        <v>400</v>
      </c>
      <c r="U13" s="64">
        <f t="shared" si="3"/>
        <v>0</v>
      </c>
      <c r="V13" s="62"/>
      <c r="W13" s="65">
        <f>U13/INDEX(Analysis!$S$5:$Y$35,MATCH('Prod Plan 0115'!$A13,Analysis!$S$5:$S$35,0),3)</f>
        <v>0</v>
      </c>
      <c r="X13" s="65"/>
      <c r="Y13" s="66"/>
      <c r="Z13" s="66"/>
      <c r="AA13" s="67"/>
      <c r="AB13" s="68">
        <f t="shared" si="4"/>
        <v>0</v>
      </c>
    </row>
    <row r="14" spans="1:28">
      <c r="A14" s="46" t="str">
        <f>'Work Steps'!C13</f>
        <v>SC1</v>
      </c>
      <c r="B14" s="71">
        <f>'Work Steps'!D13</f>
        <v>12</v>
      </c>
      <c r="C14" s="47" t="str">
        <f>'Work Steps'!F13</f>
        <v xml:space="preserve">C1. Hanging Big Pocket </v>
      </c>
      <c r="D14" s="48" t="str">
        <f>'Work Steps'!G13</f>
        <v xml:space="preserve">  Hem one short side</v>
      </c>
      <c r="E14" s="49">
        <f>INDEX(Analysis!$S$5:$Y$35,MATCH('Prod Plan 0115'!$A14,Analysis!$S$5:$S$35,0),4)</f>
        <v>400</v>
      </c>
      <c r="F14" s="47" t="s">
        <v>362</v>
      </c>
      <c r="G14" s="50">
        <f>INDEX(Analysis!$S$5:$Y$35,MATCH('Prod Plan 0115'!$A14,Analysis!$S$5:$S$35,0),7)</f>
        <v>3.4850088183421493</v>
      </c>
      <c r="H14" s="50">
        <v>1</v>
      </c>
      <c r="I14" s="51">
        <f>J10+((5/60)/24)</f>
        <v>0.28620095735579409</v>
      </c>
      <c r="J14" s="51">
        <f>IF((I14+(G14/H14)/24)+(0.5/24)&gt;0.6875,0.6875,(I14+(G14/H14)/24)+(0.5/24))</f>
        <v>0.45224299145338359</v>
      </c>
      <c r="K14" s="52">
        <f>IF((((J14-I14)*24)*H14)*INDEX(Analysis!$S$5:$Y$35,MATCH('Prod Plan 0115'!$A14,Analysis!$S$5:$S$35,0),3)&gt;E14,E14,(((J14-I14)*24)*H14)*INDEX(Analysis!$S$5:$Y$35,MATCH('Prod Plan 0115'!$A14,Analysis!$S$5:$S$35,0),3))</f>
        <v>400</v>
      </c>
      <c r="L14" s="53">
        <f t="shared" si="0"/>
        <v>400</v>
      </c>
      <c r="M14" s="49">
        <f t="shared" si="1"/>
        <v>0</v>
      </c>
      <c r="N14" s="47"/>
      <c r="O14" s="50">
        <f>M14/INDEX(Analysis!$S$5:$Y$35,MATCH('Prod Plan 0115'!$A14,Analysis!$S$5:$S$35,0),3)</f>
        <v>0</v>
      </c>
      <c r="P14" s="50"/>
      <c r="Q14" s="51"/>
      <c r="R14" s="51"/>
      <c r="S14" s="52"/>
      <c r="T14" s="53">
        <f t="shared" si="2"/>
        <v>0</v>
      </c>
      <c r="U14" s="49">
        <f t="shared" si="3"/>
        <v>0</v>
      </c>
      <c r="V14" s="47"/>
      <c r="W14" s="50">
        <f>U14/INDEX(Analysis!$S$5:$Y$35,MATCH('Prod Plan 0115'!$A14,Analysis!$S$5:$S$35,0),3)</f>
        <v>0</v>
      </c>
      <c r="X14" s="50"/>
      <c r="Y14" s="51"/>
      <c r="Z14" s="51"/>
      <c r="AA14" s="52"/>
      <c r="AB14" s="53">
        <f t="shared" si="4"/>
        <v>0</v>
      </c>
    </row>
    <row r="15" spans="1:28">
      <c r="A15" s="54" t="str">
        <f>'Work Steps'!C14</f>
        <v>SC2</v>
      </c>
      <c r="B15" s="72">
        <f>'Work Steps'!D14</f>
        <v>13</v>
      </c>
      <c r="C15" s="38" t="str">
        <f>'Work Steps'!F14</f>
        <v xml:space="preserve">C2. Hanging Big Pocket </v>
      </c>
      <c r="D15" s="55" t="str">
        <f>'Work Steps'!G14</f>
        <v xml:space="preserve"> Fold to the marking, and close both sides</v>
      </c>
      <c r="E15" s="56">
        <f>INDEX(Analysis!$S$5:$Y$35,MATCH('Prod Plan 0115'!$A15,Analysis!$S$5:$S$35,0),4)</f>
        <v>400</v>
      </c>
      <c r="F15" s="38" t="s">
        <v>364</v>
      </c>
      <c r="G15" s="57">
        <f>INDEX(Analysis!$S$5:$Y$35,MATCH('Prod Plan 0115'!$A15,Analysis!$S$5:$S$35,0),7)</f>
        <v>5.6648777579010128</v>
      </c>
      <c r="H15" s="57">
        <v>2</v>
      </c>
      <c r="I15" s="58">
        <v>0.4375</v>
      </c>
      <c r="J15" s="58">
        <f>IF((I15+(G15/H15)/24)+(0.5/24)&gt;0.6875,0.6875,(I15+(G15/H15)/24)+(0.5/24))</f>
        <v>0.57635161995627116</v>
      </c>
      <c r="K15" s="59">
        <f>IF((((J15-I15)*24)*H15)*INDEX(Analysis!$S$5:$Y$35,MATCH('Prod Plan 0115'!$A15,Analysis!$S$5:$S$35,0),3)&gt;E15,E15,(((J15-I15)*24)*H15)*INDEX(Analysis!$S$5:$Y$35,MATCH('Prod Plan 0115'!$A15,Analysis!$S$5:$S$35,0),3))</f>
        <v>400</v>
      </c>
      <c r="L15" s="60">
        <f t="shared" si="0"/>
        <v>400</v>
      </c>
      <c r="M15" s="56">
        <f t="shared" si="1"/>
        <v>0</v>
      </c>
      <c r="O15" s="57">
        <f>M15/INDEX(Analysis!$S$5:$Y$35,MATCH('Prod Plan 0115'!$A15,Analysis!$S$5:$S$35,0),3)</f>
        <v>0</v>
      </c>
      <c r="P15" s="57"/>
      <c r="Q15" s="58"/>
      <c r="R15" s="58"/>
      <c r="S15" s="59"/>
      <c r="T15" s="60">
        <f t="shared" si="2"/>
        <v>0</v>
      </c>
      <c r="U15" s="56">
        <f t="shared" si="3"/>
        <v>0</v>
      </c>
      <c r="W15" s="57">
        <f>U15/INDEX(Analysis!$S$5:$Y$35,MATCH('Prod Plan 0115'!$A15,Analysis!$S$5:$S$35,0),3)</f>
        <v>0</v>
      </c>
      <c r="X15" s="57"/>
      <c r="Y15" s="58"/>
      <c r="Z15" s="58"/>
      <c r="AA15" s="59"/>
      <c r="AB15" s="60">
        <f t="shared" si="4"/>
        <v>0</v>
      </c>
    </row>
    <row r="16" spans="1:28">
      <c r="A16" s="54" t="str">
        <f>'Work Steps'!C15</f>
        <v>SC3</v>
      </c>
      <c r="B16" s="72">
        <f>'Work Steps'!D15</f>
        <v>14</v>
      </c>
      <c r="C16" s="38" t="str">
        <f>'Work Steps'!F15</f>
        <v xml:space="preserve">C3. Hanging Big Pocket </v>
      </c>
      <c r="D16" s="55" t="str">
        <f>'Work Steps'!G15</f>
        <v xml:space="preserve"> Add stitching to the lower corners to create volume</v>
      </c>
      <c r="E16" s="56">
        <f>INDEX(Analysis!$S$5:$Y$35,MATCH('Prod Plan 0115'!$A16,Analysis!$S$5:$S$35,0),4)</f>
        <v>400</v>
      </c>
      <c r="F16" s="38" t="s">
        <v>364</v>
      </c>
      <c r="G16" s="57">
        <f>INDEX(Analysis!$S$5:$Y$35,MATCH('Prod Plan 0115'!$A16,Analysis!$S$5:$S$35,0),7)</f>
        <v>4.4759493670886066</v>
      </c>
      <c r="H16" s="57">
        <v>2</v>
      </c>
      <c r="I16" s="58">
        <f>J22+((5/60)/24)</f>
        <v>0.59850341651812244</v>
      </c>
      <c r="J16" s="58">
        <f>IF((I16+(G16/H16)/24)+(0.5/24)&gt;0.6875,0.6875,(I16+(G16/H16)/24)+(0.5/24))</f>
        <v>0.6875</v>
      </c>
      <c r="K16" s="59">
        <f>IF((((J16-I16)*24)*H16)*INDEX(Analysis!$S$5:$Y$35,MATCH('Prod Plan 0115'!$A16,Analysis!$S$5:$S$35,0),3)&gt;E16,E16,(((J16-I16)*24)*H16)*INDEX(Analysis!$S$5:$Y$35,MATCH('Prod Plan 0115'!$A16,Analysis!$S$5:$S$35,0),3))</f>
        <v>381.75910018470563</v>
      </c>
      <c r="L16" s="60">
        <f t="shared" si="0"/>
        <v>381.75910018470563</v>
      </c>
      <c r="M16" s="56">
        <f t="shared" si="1"/>
        <v>18.24089981529437</v>
      </c>
      <c r="N16" s="38" t="s">
        <v>362</v>
      </c>
      <c r="O16" s="57">
        <f>M16/INDEX(Analysis!$S$5:$Y$35,MATCH('Prod Plan 0115'!$A16,Analysis!$S$5:$S$35,0),3)</f>
        <v>0.20411335995848379</v>
      </c>
      <c r="P16" s="57">
        <v>1</v>
      </c>
      <c r="Q16" s="58">
        <v>0.25</v>
      </c>
      <c r="R16" s="58">
        <f>IF((Q16+(O16/P16)/24)+(0.5/24)&gt;0.6875,0.6875,(Q16+(O16/P16)/24)+(0.5/24))</f>
        <v>0.27933805666493683</v>
      </c>
      <c r="S16" s="59">
        <f>IF((((R16-Q16)*24)*P16)*INDEX(Analysis!$S$5:$Y$35,MATCH('Prod Plan 0115'!$A16,Analysis!$S$5:$S$35,0),3)&gt;M16,M16,(((R16-Q16)*24)*P16)*INDEX(Analysis!$S$5:$Y$35,MATCH('Prod Plan 0115'!$A16,Analysis!$S$5:$S$35,0),3))</f>
        <v>18.24089981529437</v>
      </c>
      <c r="T16" s="60">
        <f t="shared" si="2"/>
        <v>400</v>
      </c>
      <c r="U16" s="56">
        <f t="shared" si="3"/>
        <v>0</v>
      </c>
      <c r="W16" s="57">
        <f>U16/INDEX(Analysis!$S$5:$Y$35,MATCH('Prod Plan 0115'!$A16,Analysis!$S$5:$S$35,0),3)</f>
        <v>0</v>
      </c>
      <c r="X16" s="57"/>
      <c r="Y16" s="58"/>
      <c r="Z16" s="58"/>
      <c r="AA16" s="59"/>
      <c r="AB16" s="60">
        <f t="shared" si="4"/>
        <v>0</v>
      </c>
    </row>
    <row r="17" spans="1:28">
      <c r="A17" s="54" t="str">
        <f>'Work Steps'!C16</f>
        <v>SC4</v>
      </c>
      <c r="B17" s="72">
        <f>'Work Steps'!D16</f>
        <v>15</v>
      </c>
      <c r="C17" s="38" t="str">
        <f>'Work Steps'!F16</f>
        <v xml:space="preserve">C4. Hanging Big Pocket </v>
      </c>
      <c r="D17" s="76" t="str">
        <f>'Work Steps'!G16</f>
        <v xml:space="preserve"> Turn right side out</v>
      </c>
      <c r="E17" s="56">
        <f>INDEX(Analysis!$S$5:$Y$35,MATCH('Prod Plan 0115'!$A17,Analysis!$S$5:$S$35,0),4)</f>
        <v>400</v>
      </c>
      <c r="F17" s="38" t="s">
        <v>367</v>
      </c>
      <c r="G17" s="57">
        <f>INDEX(Analysis!$S$5:$Y$35,MATCH('Prod Plan 0115'!$A17,Analysis!$S$5:$S$35,0),7)</f>
        <v>5.9952038369304574</v>
      </c>
      <c r="H17" s="57">
        <v>2</v>
      </c>
      <c r="I17" s="58">
        <v>0.59722222222222221</v>
      </c>
      <c r="J17" s="58">
        <f>IF((I17+(G17/H17)/24)+(0.5/24)&gt;0.6875,0.6875,(I17+(G17/H17)/24)+(0.5/24))</f>
        <v>0.6875</v>
      </c>
      <c r="K17" s="59">
        <f>IF((((J17-I17)*24)*H17)*INDEX(Analysis!$S$5:$Y$35,MATCH('Prod Plan 0115'!$A17,Analysis!$S$5:$S$35,0),3)&gt;E17,E17,(((J17-I17)*24)*H17)*INDEX(Analysis!$S$5:$Y$35,MATCH('Prod Plan 0115'!$A17,Analysis!$S$5:$S$35,0),3))</f>
        <v>289.11999999999995</v>
      </c>
      <c r="L17" s="60">
        <f t="shared" si="0"/>
        <v>289.11999999999995</v>
      </c>
      <c r="M17" s="56">
        <f t="shared" si="1"/>
        <v>110.88000000000005</v>
      </c>
      <c r="N17" s="38" t="s">
        <v>225</v>
      </c>
      <c r="O17" s="57">
        <f>M17/INDEX(Analysis!$S$5:$Y$35,MATCH('Prod Plan 0115'!$A17,Analysis!$S$5:$S$35,0),3)</f>
        <v>1.6618705035971235</v>
      </c>
      <c r="P17" s="57">
        <v>1</v>
      </c>
      <c r="Q17" s="58">
        <v>0.25</v>
      </c>
      <c r="R17" s="58">
        <f>IF((Q17+(O17/P17)/24)+(0.5/24)&gt;0.6875,0.6875,(Q17+(O17/P17)/24)+(0.5/24))</f>
        <v>0.34007793764988015</v>
      </c>
      <c r="S17" s="59">
        <f>IF((((R17-Q17)*24)*P17)*INDEX(Analysis!$S$5:$Y$35,MATCH('Prod Plan 0115'!$A17,Analysis!$S$5:$S$35,0),3)&gt;M17,M17,(((R17-Q17)*24)*P17)*INDEX(Analysis!$S$5:$Y$35,MATCH('Prod Plan 0115'!$A17,Analysis!$S$5:$S$35,0),3))</f>
        <v>110.88000000000005</v>
      </c>
      <c r="T17" s="60">
        <f t="shared" si="2"/>
        <v>400</v>
      </c>
      <c r="U17" s="56">
        <f t="shared" si="3"/>
        <v>0</v>
      </c>
      <c r="W17" s="57">
        <f>U17/INDEX(Analysis!$S$5:$Y$35,MATCH('Prod Plan 0115'!$A17,Analysis!$S$5:$S$35,0),3)</f>
        <v>0</v>
      </c>
      <c r="X17" s="57"/>
      <c r="Y17" s="58"/>
      <c r="Z17" s="58"/>
      <c r="AA17" s="59"/>
      <c r="AB17" s="60">
        <f t="shared" si="4"/>
        <v>0</v>
      </c>
    </row>
    <row r="18" spans="1:28">
      <c r="A18" s="54" t="str">
        <f>'Work Steps'!C17</f>
        <v>SC5</v>
      </c>
      <c r="B18" s="72">
        <f>'Work Steps'!D17</f>
        <v>16</v>
      </c>
      <c r="C18" s="38" t="str">
        <f>'Work Steps'!F17</f>
        <v xml:space="preserve">C5. Hanging Big Pocket </v>
      </c>
      <c r="D18" s="55" t="str">
        <f>'Work Steps'!G17</f>
        <v xml:space="preserve"> Add straight single-stitching to the top of the pocket</v>
      </c>
      <c r="E18" s="56">
        <f>INDEX(Analysis!$S$5:$Y$35,MATCH('Prod Plan 0115'!$A18,Analysis!$S$5:$S$35,0),4)</f>
        <v>400</v>
      </c>
      <c r="G18" s="57">
        <f>INDEX(Analysis!$S$5:$Y$35,MATCH('Prod Plan 0115'!$A18,Analysis!$S$5:$S$35,0),7)</f>
        <v>5.2743601723511429</v>
      </c>
      <c r="H18" s="57"/>
      <c r="I18" s="58"/>
      <c r="J18" s="58"/>
      <c r="K18" s="59"/>
      <c r="L18" s="60">
        <f t="shared" si="0"/>
        <v>0</v>
      </c>
      <c r="M18" s="56">
        <f t="shared" si="1"/>
        <v>400</v>
      </c>
      <c r="N18" s="38" t="s">
        <v>368</v>
      </c>
      <c r="O18" s="57">
        <f>M18/INDEX(Analysis!$S$5:$Y$35,MATCH('Prod Plan 0115'!$A18,Analysis!$S$5:$S$35,0),3)</f>
        <v>5.2743601723511429</v>
      </c>
      <c r="P18" s="57">
        <v>2</v>
      </c>
      <c r="Q18" s="58">
        <v>0.25</v>
      </c>
      <c r="R18" s="58">
        <f>IF((Q18+(O18/P18)/24)+(0.5/24)&gt;0.6875,0.6875,(Q18+(O18/P18)/24)+(0.5/24))</f>
        <v>0.38071583692398214</v>
      </c>
      <c r="S18" s="59">
        <f>IF((((R18-Q18)*24)*P18)*INDEX(Analysis!$S$5:$Y$35,MATCH('Prod Plan 0115'!$A18,Analysis!$S$5:$S$35,0),3)&gt;M18,M18,(((R18-Q18)*24)*P18)*INDEX(Analysis!$S$5:$Y$35,MATCH('Prod Plan 0115'!$A18,Analysis!$S$5:$S$35,0),3))</f>
        <v>400</v>
      </c>
      <c r="T18" s="60">
        <f t="shared" si="2"/>
        <v>400</v>
      </c>
      <c r="U18" s="56">
        <f t="shared" si="3"/>
        <v>0</v>
      </c>
      <c r="W18" s="57">
        <f>U18/INDEX(Analysis!$S$5:$Y$35,MATCH('Prod Plan 0115'!$A18,Analysis!$S$5:$S$35,0),3)</f>
        <v>0</v>
      </c>
      <c r="X18" s="57"/>
      <c r="Y18" s="58"/>
      <c r="Z18" s="58"/>
      <c r="AA18" s="59"/>
      <c r="AB18" s="60">
        <f t="shared" si="4"/>
        <v>0</v>
      </c>
    </row>
    <row r="19" spans="1:28">
      <c r="A19" s="54" t="str">
        <f>'Work Steps'!C18</f>
        <v>SC6</v>
      </c>
      <c r="B19" s="72">
        <f>'Work Steps'!D18</f>
        <v>17</v>
      </c>
      <c r="C19" s="38" t="str">
        <f>'Work Steps'!F18</f>
        <v xml:space="preserve">C6. Hanging Big Pocket </v>
      </c>
      <c r="D19" s="55" t="str">
        <f>'Work Steps'!G18</f>
        <v xml:space="preserve"> Sew the center stitch</v>
      </c>
      <c r="E19" s="56">
        <f>INDEX(Analysis!$S$5:$Y$35,MATCH('Prod Plan 0115'!$A19,Analysis!$S$5:$S$35,0),4)</f>
        <v>400</v>
      </c>
      <c r="G19" s="57">
        <f>INDEX(Analysis!$S$5:$Y$35,MATCH('Prod Plan 0115'!$A19,Analysis!$S$5:$S$35,0),7)</f>
        <v>6.8292682926829258</v>
      </c>
      <c r="H19" s="57"/>
      <c r="I19" s="58"/>
      <c r="J19" s="58"/>
      <c r="K19" s="59"/>
      <c r="L19" s="60">
        <f t="shared" si="0"/>
        <v>0</v>
      </c>
      <c r="M19" s="56">
        <f t="shared" si="1"/>
        <v>400</v>
      </c>
      <c r="N19" s="38" t="s">
        <v>371</v>
      </c>
      <c r="O19" s="57">
        <f>M19/INDEX(Analysis!$S$5:$Y$35,MATCH('Prod Plan 0115'!$A19,Analysis!$S$5:$S$35,0),3)</f>
        <v>6.8292682926829258</v>
      </c>
      <c r="P19" s="57">
        <v>6</v>
      </c>
      <c r="Q19" s="58">
        <f>R18+((5/60)/24)</f>
        <v>0.38418805914620435</v>
      </c>
      <c r="R19" s="58">
        <f>IF((Q19+(O19/P19)/24)+(0.5/24)&gt;0.6875,0.6875,(Q19+(O19/P19)/24)+(0.5/24))</f>
        <v>0.4524468667342802</v>
      </c>
      <c r="S19" s="59">
        <f>IF((((R19-Q19)*24)*P19)*INDEX(Analysis!$S$5:$Y$35,MATCH('Prod Plan 0115'!$A19,Analysis!$S$5:$S$35,0),3)&gt;M19,M19,(((R19-Q19)*24)*P19)*INDEX(Analysis!$S$5:$Y$35,MATCH('Prod Plan 0115'!$A19,Analysis!$S$5:$S$35,0),3))</f>
        <v>400</v>
      </c>
      <c r="T19" s="60">
        <f t="shared" si="2"/>
        <v>400</v>
      </c>
      <c r="U19" s="56">
        <f t="shared" si="3"/>
        <v>0</v>
      </c>
      <c r="W19" s="57">
        <f>U19/INDEX(Analysis!$S$5:$Y$35,MATCH('Prod Plan 0115'!$A19,Analysis!$S$5:$S$35,0),3)</f>
        <v>0</v>
      </c>
      <c r="X19" s="57"/>
      <c r="Y19" s="58"/>
      <c r="Z19" s="58"/>
      <c r="AA19" s="59"/>
      <c r="AB19" s="60">
        <f t="shared" si="4"/>
        <v>0</v>
      </c>
    </row>
    <row r="20" spans="1:28">
      <c r="A20" s="54" t="str">
        <f>'Work Steps'!C19</f>
        <v>SC7</v>
      </c>
      <c r="B20" s="72">
        <f>'Work Steps'!D19</f>
        <v>18</v>
      </c>
      <c r="C20" s="38" t="str">
        <f>'Work Steps'!F19</f>
        <v xml:space="preserve">C7. Bartack </v>
      </c>
      <c r="D20" s="55" t="str">
        <f>'Work Steps'!G19</f>
        <v xml:space="preserve"> Add the bartack to the top of the hanging big pocket</v>
      </c>
      <c r="E20" s="56">
        <f>INDEX(Analysis!$S$5:$Y$35,MATCH('Prod Plan 0115'!$A20,Analysis!$S$5:$S$35,0),4)</f>
        <v>400</v>
      </c>
      <c r="G20" s="57">
        <f>INDEX(Analysis!$S$5:$Y$35,MATCH('Prod Plan 0115'!$A20,Analysis!$S$5:$S$35,0),7)</f>
        <v>3.9106145251396631</v>
      </c>
      <c r="H20" s="57"/>
      <c r="I20" s="58"/>
      <c r="J20" s="58"/>
      <c r="K20" s="59"/>
      <c r="L20" s="60">
        <f t="shared" si="0"/>
        <v>0</v>
      </c>
      <c r="M20" s="56">
        <f t="shared" si="1"/>
        <v>400</v>
      </c>
      <c r="N20" s="38" t="s">
        <v>371</v>
      </c>
      <c r="O20" s="57">
        <f>M20/INDEX(Analysis!$S$5:$Y$35,MATCH('Prod Plan 0115'!$A20,Analysis!$S$5:$S$35,0),3)</f>
        <v>3.9106145251396631</v>
      </c>
      <c r="P20" s="57">
        <v>6</v>
      </c>
      <c r="Q20" s="58">
        <f t="shared" ref="Q20:Q21" si="5">R19+((5/60)/24)</f>
        <v>0.45591908895650241</v>
      </c>
      <c r="R20" s="58">
        <f t="shared" ref="R20:R21" si="6">IF((Q20+(O20/P20)/24)+(0.5/24)&gt;0.6875,0.6875,(Q20+(O20/P20)/24)+(0.5/24))</f>
        <v>0.50390946760330568</v>
      </c>
      <c r="S20" s="59">
        <f>IF((((R20-Q20)*24)*P20)*INDEX(Analysis!$S$5:$Y$35,MATCH('Prod Plan 0115'!$A20,Analysis!$S$5:$S$35,0),3)&gt;M20,M20,(((R20-Q20)*24)*P20)*INDEX(Analysis!$S$5:$Y$35,MATCH('Prod Plan 0115'!$A20,Analysis!$S$5:$S$35,0),3))</f>
        <v>400</v>
      </c>
      <c r="T20" s="60">
        <f t="shared" si="2"/>
        <v>400</v>
      </c>
      <c r="U20" s="56">
        <f t="shared" si="3"/>
        <v>0</v>
      </c>
      <c r="W20" s="57">
        <f>U20/INDEX(Analysis!$S$5:$Y$35,MATCH('Prod Plan 0115'!$A20,Analysis!$S$5:$S$35,0),3)</f>
        <v>0</v>
      </c>
      <c r="X20" s="57"/>
      <c r="Y20" s="58"/>
      <c r="Z20" s="58"/>
      <c r="AA20" s="59"/>
      <c r="AB20" s="60">
        <f t="shared" si="4"/>
        <v>0</v>
      </c>
    </row>
    <row r="21" spans="1:28" ht="13" thickBot="1">
      <c r="A21" s="61" t="str">
        <f>'Work Steps'!C20</f>
        <v>SC8</v>
      </c>
      <c r="B21" s="73">
        <f>'Work Steps'!D20</f>
        <v>19</v>
      </c>
      <c r="C21" s="62" t="str">
        <f>'Work Steps'!F20</f>
        <v xml:space="preserve">C8. Hanging Big Pocket </v>
      </c>
      <c r="D21" s="63" t="str">
        <f>'Work Steps'!G20</f>
        <v xml:space="preserve"> Stitch the connector strap to the large pocket</v>
      </c>
      <c r="E21" s="64">
        <f>INDEX(Analysis!$S$5:$Y$35,MATCH('Prod Plan 0115'!$A21,Analysis!$S$5:$S$35,0),4)</f>
        <v>400</v>
      </c>
      <c r="F21" s="62"/>
      <c r="G21" s="65">
        <f>INDEX(Analysis!$S$5:$Y$35,MATCH('Prod Plan 0115'!$A21,Analysis!$S$5:$S$35,0),7)</f>
        <v>4.9311439425119321</v>
      </c>
      <c r="H21" s="65"/>
      <c r="I21" s="66"/>
      <c r="J21" s="66"/>
      <c r="K21" s="67"/>
      <c r="L21" s="68">
        <f t="shared" si="0"/>
        <v>0</v>
      </c>
      <c r="M21" s="64">
        <f t="shared" si="1"/>
        <v>400</v>
      </c>
      <c r="N21" s="62" t="s">
        <v>371</v>
      </c>
      <c r="O21" s="65">
        <f>M21/INDEX(Analysis!$S$5:$Y$35,MATCH('Prod Plan 0115'!$A21,Analysis!$S$5:$S$35,0),3)</f>
        <v>4.9311439425119321</v>
      </c>
      <c r="P21" s="65">
        <v>6</v>
      </c>
      <c r="Q21" s="66">
        <f t="shared" si="5"/>
        <v>0.50738168982552789</v>
      </c>
      <c r="R21" s="66">
        <f t="shared" si="6"/>
        <v>0.56245907831519415</v>
      </c>
      <c r="S21" s="67">
        <f>IF((((R21-Q21)*24)*P21)*INDEX(Analysis!$S$5:$Y$35,MATCH('Prod Plan 0115'!$A21,Analysis!$S$5:$S$35,0),3)&gt;M21,M21,(((R21-Q21)*24)*P21)*INDEX(Analysis!$S$5:$Y$35,MATCH('Prod Plan 0115'!$A21,Analysis!$S$5:$S$35,0),3))</f>
        <v>400</v>
      </c>
      <c r="T21" s="68">
        <f t="shared" si="2"/>
        <v>400</v>
      </c>
      <c r="U21" s="64">
        <f t="shared" si="3"/>
        <v>0</v>
      </c>
      <c r="V21" s="62"/>
      <c r="W21" s="65">
        <f>U21/INDEX(Analysis!$S$5:$Y$35,MATCH('Prod Plan 0115'!$A21,Analysis!$S$5:$S$35,0),3)</f>
        <v>0</v>
      </c>
      <c r="X21" s="65"/>
      <c r="Y21" s="66"/>
      <c r="Z21" s="66"/>
      <c r="AA21" s="67"/>
      <c r="AB21" s="68">
        <f t="shared" si="4"/>
        <v>0</v>
      </c>
    </row>
    <row r="22" spans="1:28">
      <c r="A22" s="46" t="str">
        <f>'Work Steps'!C21</f>
        <v>SD1</v>
      </c>
      <c r="B22" s="71">
        <f>'Work Steps'!D21</f>
        <v>20</v>
      </c>
      <c r="C22" s="47" t="str">
        <f>'Work Steps'!F21</f>
        <v xml:space="preserve">D1. Cushion Cover </v>
      </c>
      <c r="D22" s="48" t="str">
        <f>'Work Steps'!G21</f>
        <v>Sew the zipper onto the left panel with USA flag.</v>
      </c>
      <c r="E22" s="49">
        <f>INDEX(Analysis!$S$5:$Y$35,MATCH('Prod Plan 0115'!$A22,Analysis!$S$5:$S$35,0),4)</f>
        <v>300</v>
      </c>
      <c r="F22" s="47" t="s">
        <v>305</v>
      </c>
      <c r="G22" s="50">
        <f>INDEX(Analysis!$S$5:$Y$35,MATCH('Prod Plan 0115'!$A22,Analysis!$S$5:$S$35,0),7)</f>
        <v>7.780748663101603</v>
      </c>
      <c r="H22" s="50">
        <v>1</v>
      </c>
      <c r="I22" s="51">
        <v>0.25</v>
      </c>
      <c r="J22" s="51">
        <f>IF((I22+(G22/H22)/24)+(0.5/24)&gt;0.6875,0.6875,(I22+(G22/H22)/24)+(0.5/24))</f>
        <v>0.59503119429590023</v>
      </c>
      <c r="K22" s="52">
        <f>IF((((J22-I22)*24)*H22)*INDEX(Analysis!$S$5:$Y$35,MATCH('Prod Plan 0115'!$A22,Analysis!$S$5:$S$35,0),3)&gt;E22,E22,(((J22-I22)*24)*H22)*INDEX(Analysis!$S$5:$Y$35,MATCH('Prod Plan 0115'!$A22,Analysis!$S$5:$S$35,0),3))</f>
        <v>300</v>
      </c>
      <c r="L22" s="53">
        <f t="shared" si="0"/>
        <v>400</v>
      </c>
      <c r="M22" s="49">
        <f t="shared" si="1"/>
        <v>0</v>
      </c>
      <c r="N22" s="47"/>
      <c r="O22" s="50">
        <f>M22/INDEX(Analysis!$S$5:$Y$35,MATCH('Prod Plan 0115'!$A22,Analysis!$S$5:$S$35,0),3)</f>
        <v>0</v>
      </c>
      <c r="P22" s="50"/>
      <c r="Q22" s="51"/>
      <c r="R22" s="51"/>
      <c r="S22" s="52"/>
      <c r="T22" s="53">
        <f t="shared" si="2"/>
        <v>0</v>
      </c>
      <c r="U22" s="49">
        <f t="shared" si="3"/>
        <v>0</v>
      </c>
      <c r="V22" s="47"/>
      <c r="W22" s="50">
        <f>U22/INDEX(Analysis!$S$5:$Y$35,MATCH('Prod Plan 0115'!$A22,Analysis!$S$5:$S$35,0),3)</f>
        <v>0</v>
      </c>
      <c r="X22" s="50"/>
      <c r="Y22" s="51"/>
      <c r="Z22" s="51"/>
      <c r="AA22" s="52"/>
      <c r="AB22" s="53">
        <f t="shared" si="4"/>
        <v>0</v>
      </c>
    </row>
    <row r="23" spans="1:28">
      <c r="A23" s="54" t="str">
        <f>'Work Steps'!C22</f>
        <v>SD2</v>
      </c>
      <c r="B23" s="72">
        <f>'Work Steps'!D22</f>
        <v>21</v>
      </c>
      <c r="C23" s="38" t="str">
        <f>'Work Steps'!F22</f>
        <v xml:space="preserve">D2. Cushion Cover </v>
      </c>
      <c r="D23" s="55" t="str">
        <f>'Work Steps'!G22</f>
        <v xml:space="preserve"> Sew the zipper with hemming foot onto the right panel without the flag</v>
      </c>
      <c r="E23" s="56">
        <f>INDEX(Analysis!$S$5:$Y$35,MATCH('Prod Plan 0115'!$A23,Analysis!$S$5:$S$35,0),4)</f>
        <v>0</v>
      </c>
      <c r="G23" s="57">
        <f>INDEX(Analysis!$S$5:$Y$35,MATCH('Prod Plan 0115'!$A23,Analysis!$S$5:$S$35,0),7)</f>
        <v>0</v>
      </c>
      <c r="H23" s="57"/>
      <c r="I23" s="58"/>
      <c r="J23" s="58"/>
      <c r="K23" s="59"/>
      <c r="L23" s="60">
        <f t="shared" si="0"/>
        <v>0</v>
      </c>
      <c r="M23" s="56">
        <f t="shared" si="1"/>
        <v>0</v>
      </c>
      <c r="O23" s="57">
        <f>M23/INDEX(Analysis!$S$5:$Y$35,MATCH('Prod Plan 0115'!$A23,Analysis!$S$5:$S$35,0),3)</f>
        <v>0</v>
      </c>
      <c r="P23" s="57"/>
      <c r="Q23" s="58"/>
      <c r="R23" s="58"/>
      <c r="S23" s="59"/>
      <c r="T23" s="60">
        <f t="shared" si="2"/>
        <v>0</v>
      </c>
      <c r="U23" s="56">
        <f t="shared" si="3"/>
        <v>0</v>
      </c>
      <c r="W23" s="57">
        <f>U23/INDEX(Analysis!$S$5:$Y$35,MATCH('Prod Plan 0115'!$A23,Analysis!$S$5:$S$35,0),3)</f>
        <v>0</v>
      </c>
      <c r="X23" s="57"/>
      <c r="Y23" s="58"/>
      <c r="Z23" s="58"/>
      <c r="AA23" s="59"/>
      <c r="AB23" s="60">
        <f t="shared" si="4"/>
        <v>0</v>
      </c>
    </row>
    <row r="24" spans="1:28">
      <c r="A24" s="54" t="str">
        <f>'Work Steps'!C23</f>
        <v>SD3</v>
      </c>
      <c r="B24" s="72">
        <f>'Work Steps'!D23</f>
        <v>22</v>
      </c>
      <c r="C24" s="38" t="str">
        <f>'Work Steps'!F23</f>
        <v xml:space="preserve">D3. Cushion Cover </v>
      </c>
      <c r="D24" s="55" t="str">
        <f>'Work Steps'!G23</f>
        <v xml:space="preserve"> Cut extra material off add the zipper pull</v>
      </c>
      <c r="E24" s="56">
        <f>INDEX(Analysis!$S$5:$Y$35,MATCH('Prod Plan 0115'!$A24,Analysis!$S$5:$S$35,0),4)</f>
        <v>400</v>
      </c>
      <c r="F24" s="38" t="s">
        <v>234</v>
      </c>
      <c r="G24" s="57">
        <f>INDEX(Analysis!$S$5:$Y$35,MATCH('Prod Plan 0115'!$A24,Analysis!$S$5:$S$35,0),7)</f>
        <v>15.646258503401363</v>
      </c>
      <c r="H24" s="57">
        <v>1</v>
      </c>
      <c r="I24" s="58">
        <v>0.25</v>
      </c>
      <c r="J24" s="58">
        <f>IF((I24+(G24/H24)/24)+(0.5/24)&gt;0.6875,0.6875,(I24+(G24/H24)/24)+(0.5/24))</f>
        <v>0.6875</v>
      </c>
      <c r="K24" s="59">
        <f>IF((((J24-I24)*24)*H24)*INDEX(Analysis!$S$5:$Y$35,MATCH('Prod Plan 0115'!$A24,Analysis!$S$5:$S$35,0),3)&gt;E24,E24,(((J24-I24)*24)*H24)*INDEX(Analysis!$S$5:$Y$35,MATCH('Prod Plan 0115'!$A24,Analysis!$S$5:$S$35,0),3))</f>
        <v>268.43478260869563</v>
      </c>
      <c r="L24" s="60">
        <f t="shared" si="0"/>
        <v>268.43478260869563</v>
      </c>
      <c r="M24" s="56">
        <f t="shared" si="1"/>
        <v>131.56521739130437</v>
      </c>
      <c r="N24" s="38" t="s">
        <v>370</v>
      </c>
      <c r="O24" s="57">
        <f>M24/INDEX(Analysis!$S$5:$Y$35,MATCH('Prod Plan 0115'!$A24,Analysis!$S$5:$S$35,0),3)</f>
        <v>5.1462585034013619</v>
      </c>
      <c r="P24" s="57">
        <v>2</v>
      </c>
      <c r="Q24" s="58">
        <v>0.25</v>
      </c>
      <c r="R24" s="58">
        <f>IF((Q24+(O24/P24)/24)+(0.5/24)&gt;0.6875,0.6875,(Q24+(O24/P24)/24)+(0.5/24))</f>
        <v>0.37804705215419504</v>
      </c>
      <c r="S24" s="59">
        <f>IF((((R24-Q24)*24)*P24)*INDEX(Analysis!$S$5:$Y$35,MATCH('Prod Plan 0115'!$A24,Analysis!$S$5:$S$35,0),3)&gt;M24,M24,(((R24-Q24)*24)*P24)*INDEX(Analysis!$S$5:$Y$35,MATCH('Prod Plan 0115'!$A24,Analysis!$S$5:$S$35,0),3))</f>
        <v>131.56521739130437</v>
      </c>
      <c r="T24" s="60">
        <f t="shared" si="2"/>
        <v>400</v>
      </c>
      <c r="U24" s="56">
        <f t="shared" si="3"/>
        <v>0</v>
      </c>
      <c r="W24" s="57">
        <f>U24/INDEX(Analysis!$S$5:$Y$35,MATCH('Prod Plan 0115'!$A24,Analysis!$S$5:$S$35,0),3)</f>
        <v>0</v>
      </c>
      <c r="X24" s="57"/>
      <c r="Y24" s="58"/>
      <c r="Z24" s="58"/>
      <c r="AA24" s="59"/>
      <c r="AB24" s="60">
        <f t="shared" si="4"/>
        <v>0</v>
      </c>
    </row>
    <row r="25" spans="1:28">
      <c r="A25" s="54" t="str">
        <f>'Work Steps'!C24</f>
        <v>SD4</v>
      </c>
      <c r="B25" s="72">
        <f>'Work Steps'!D24</f>
        <v>23</v>
      </c>
      <c r="C25" s="38" t="str">
        <f>'Work Steps'!F24</f>
        <v xml:space="preserve">D4. Cushion Cover </v>
      </c>
      <c r="D25" s="55" t="str">
        <f>'Work Steps'!G24</f>
        <v xml:space="preserve"> Add stitch to both zipper ends</v>
      </c>
      <c r="E25" s="56">
        <f>INDEX(Analysis!$S$5:$Y$35,MATCH('Prod Plan 0115'!$A25,Analysis!$S$5:$S$35,0),4)</f>
        <v>400</v>
      </c>
      <c r="G25" s="57">
        <f>INDEX(Analysis!$S$5:$Y$35,MATCH('Prod Plan 0115'!$A25,Analysis!$S$5:$S$35,0),7)</f>
        <v>6.026365348399243</v>
      </c>
      <c r="H25" s="57"/>
      <c r="I25" s="58"/>
      <c r="J25" s="58"/>
      <c r="K25" s="59"/>
      <c r="L25" s="60">
        <f t="shared" si="0"/>
        <v>0</v>
      </c>
      <c r="M25" s="56">
        <f t="shared" si="1"/>
        <v>400</v>
      </c>
      <c r="N25" s="38" t="s">
        <v>369</v>
      </c>
      <c r="O25" s="57">
        <f>M25/INDEX(Analysis!$S$5:$Y$35,MATCH('Prod Plan 0115'!$A25,Analysis!$S$5:$S$35,0),3)</f>
        <v>6.026365348399243</v>
      </c>
      <c r="P25" s="57">
        <v>2</v>
      </c>
      <c r="Q25" s="58">
        <v>0.25</v>
      </c>
      <c r="R25" s="58">
        <f>IF((Q25+(O25/P25)/24)+(0.5/24)&gt;0.6875,0.6875,(Q25+(O25/P25)/24)+(0.5/24))</f>
        <v>0.39638261142498421</v>
      </c>
      <c r="S25" s="59">
        <f>IF((((R25-Q25)*24)*P25)*INDEX(Analysis!$S$5:$Y$35,MATCH('Prod Plan 0115'!$A25,Analysis!$S$5:$S$35,0),3)&gt;M25,M25,(((R25-Q25)*24)*P25)*INDEX(Analysis!$S$5:$Y$35,MATCH('Prod Plan 0115'!$A25,Analysis!$S$5:$S$35,0),3))</f>
        <v>400</v>
      </c>
      <c r="T25" s="60">
        <f t="shared" si="2"/>
        <v>400</v>
      </c>
      <c r="U25" s="56">
        <f t="shared" si="3"/>
        <v>0</v>
      </c>
      <c r="W25" s="57">
        <f>U25/INDEX(Analysis!$S$5:$Y$35,MATCH('Prod Plan 0115'!$A25,Analysis!$S$5:$S$35,0),3)</f>
        <v>0</v>
      </c>
      <c r="X25" s="57"/>
      <c r="Y25" s="58"/>
      <c r="Z25" s="58"/>
      <c r="AA25" s="59"/>
      <c r="AB25" s="60">
        <f t="shared" si="4"/>
        <v>0</v>
      </c>
    </row>
    <row r="26" spans="1:28">
      <c r="A26" s="54" t="str">
        <f>'Work Steps'!C25</f>
        <v>SD5</v>
      </c>
      <c r="B26" s="72">
        <f>'Work Steps'!D25</f>
        <v>24</v>
      </c>
      <c r="C26" s="38" t="str">
        <f>'Work Steps'!F25</f>
        <v xml:space="preserve">D5. Cushion Cover </v>
      </c>
      <c r="D26" s="55" t="str">
        <f>'Work Steps'!G25</f>
        <v xml:space="preserve">  Sew the long sides closed</v>
      </c>
      <c r="E26" s="56">
        <f>INDEX(Analysis!$S$5:$Y$35,MATCH('Prod Plan 0115'!$A26,Analysis!$S$5:$S$35,0),4)</f>
        <v>400</v>
      </c>
      <c r="G26" s="57">
        <f>INDEX(Analysis!$S$5:$Y$35,MATCH('Prod Plan 0115'!$A26,Analysis!$S$5:$S$35,0),7)</f>
        <v>3.3333333333333335</v>
      </c>
      <c r="H26" s="57"/>
      <c r="I26" s="58"/>
      <c r="J26" s="58"/>
      <c r="K26" s="59"/>
      <c r="L26" s="60">
        <f t="shared" si="0"/>
        <v>0</v>
      </c>
      <c r="M26" s="56">
        <f t="shared" si="1"/>
        <v>400</v>
      </c>
      <c r="N26" s="38" t="s">
        <v>372</v>
      </c>
      <c r="O26" s="57">
        <f>M26/INDEX(Analysis!$S$5:$Y$35,MATCH('Prod Plan 0115'!$A26,Analysis!$S$5:$S$35,0),3)</f>
        <v>3.3333333333333335</v>
      </c>
      <c r="P26" s="57">
        <v>6</v>
      </c>
      <c r="Q26" s="58">
        <f t="shared" ref="Q26:Q33" si="7">R25+((5/60)/24)</f>
        <v>0.39985483364720642</v>
      </c>
      <c r="R26" s="58">
        <f t="shared" ref="R26:R29" si="8">IF((Q26+(O26/P26)/24)+(0.5/24)&gt;0.6875,0.6875,(Q26+(O26/P26)/24)+(0.5/24))</f>
        <v>0.44383631512868787</v>
      </c>
      <c r="S26" s="59">
        <f>IF((((R26-Q26)*24)*P26)*INDEX(Analysis!$S$5:$Y$35,MATCH('Prod Plan 0115'!$A26,Analysis!$S$5:$S$35,0),3)&gt;M26,M26,(((R26-Q26)*24)*P26)*INDEX(Analysis!$S$5:$Y$35,MATCH('Prod Plan 0115'!$A26,Analysis!$S$5:$S$35,0),3))</f>
        <v>400</v>
      </c>
      <c r="T26" s="60">
        <f t="shared" si="2"/>
        <v>400</v>
      </c>
      <c r="U26" s="56">
        <f t="shared" si="3"/>
        <v>0</v>
      </c>
      <c r="W26" s="57">
        <f>U26/INDEX(Analysis!$S$5:$Y$35,MATCH('Prod Plan 0115'!$A26,Analysis!$S$5:$S$35,0),3)</f>
        <v>0</v>
      </c>
      <c r="X26" s="57"/>
      <c r="Y26" s="58"/>
      <c r="Z26" s="58"/>
      <c r="AA26" s="59"/>
      <c r="AB26" s="60">
        <f t="shared" si="4"/>
        <v>0</v>
      </c>
    </row>
    <row r="27" spans="1:28">
      <c r="A27" s="54" t="str">
        <f>'Work Steps'!C26</f>
        <v>SD6</v>
      </c>
      <c r="B27" s="72">
        <f>'Work Steps'!D26</f>
        <v>25</v>
      </c>
      <c r="C27" s="38" t="str">
        <f>'Work Steps'!F26</f>
        <v xml:space="preserve">D6.Cushion Cover </v>
      </c>
      <c r="D27" s="55" t="str">
        <f>'Work Steps'!G26</f>
        <v xml:space="preserve"> Sew front panel with pockets to zipper panel</v>
      </c>
      <c r="E27" s="56">
        <f>INDEX(Analysis!$S$5:$Y$35,MATCH('Prod Plan 0115'!$A27,Analysis!$S$5:$S$35,0),4)</f>
        <v>400</v>
      </c>
      <c r="G27" s="57">
        <f>INDEX(Analysis!$S$5:$Y$35,MATCH('Prod Plan 0115'!$A27,Analysis!$S$5:$S$35,0),7)</f>
        <v>3.3333333333333335</v>
      </c>
      <c r="H27" s="57"/>
      <c r="I27" s="58"/>
      <c r="J27" s="58"/>
      <c r="K27" s="59"/>
      <c r="L27" s="60">
        <f t="shared" si="0"/>
        <v>0</v>
      </c>
      <c r="M27" s="56">
        <f t="shared" si="1"/>
        <v>400</v>
      </c>
      <c r="N27" s="38" t="s">
        <v>372</v>
      </c>
      <c r="O27" s="57">
        <f>M27/INDEX(Analysis!$S$5:$Y$35,MATCH('Prod Plan 0115'!$A27,Analysis!$S$5:$S$35,0),3)</f>
        <v>3.3333333333333335</v>
      </c>
      <c r="P27" s="57">
        <v>6</v>
      </c>
      <c r="Q27" s="58">
        <f t="shared" si="7"/>
        <v>0.44730853735091008</v>
      </c>
      <c r="R27" s="58">
        <f t="shared" si="8"/>
        <v>0.49129001883239154</v>
      </c>
      <c r="S27" s="59">
        <f>IF((((R27-Q27)*24)*P27)*INDEX(Analysis!$S$5:$Y$35,MATCH('Prod Plan 0115'!$A27,Analysis!$S$5:$S$35,0),3)&gt;M27,M27,(((R27-Q27)*24)*P27)*INDEX(Analysis!$S$5:$Y$35,MATCH('Prod Plan 0115'!$A27,Analysis!$S$5:$S$35,0),3))</f>
        <v>400</v>
      </c>
      <c r="T27" s="60">
        <f t="shared" si="2"/>
        <v>400</v>
      </c>
      <c r="U27" s="56">
        <f t="shared" si="3"/>
        <v>0</v>
      </c>
      <c r="W27" s="57">
        <f>U27/INDEX(Analysis!$S$5:$Y$35,MATCH('Prod Plan 0115'!$A27,Analysis!$S$5:$S$35,0),3)</f>
        <v>0</v>
      </c>
      <c r="X27" s="57"/>
      <c r="Y27" s="58"/>
      <c r="Z27" s="58"/>
      <c r="AA27" s="59"/>
      <c r="AB27" s="60">
        <f t="shared" si="4"/>
        <v>0</v>
      </c>
    </row>
    <row r="28" spans="1:28">
      <c r="A28" s="54" t="str">
        <f>'Work Steps'!C27</f>
        <v>SD7</v>
      </c>
      <c r="B28" s="72">
        <f>'Work Steps'!D27</f>
        <v>26</v>
      </c>
      <c r="C28" s="38" t="str">
        <f>'Work Steps'!F27</f>
        <v xml:space="preserve">D7. Cushion Cover </v>
      </c>
      <c r="D28" s="55" t="str">
        <f>'Work Steps'!G27</f>
        <v xml:space="preserve"> Sew on the side panels</v>
      </c>
      <c r="E28" s="56">
        <f>INDEX(Analysis!$S$5:$Y$35,MATCH('Prod Plan 0115'!$A28,Analysis!$S$5:$S$35,0),4)</f>
        <v>400</v>
      </c>
      <c r="G28" s="57">
        <f>INDEX(Analysis!$S$5:$Y$35,MATCH('Prod Plan 0115'!$A28,Analysis!$S$5:$S$35,0),7)</f>
        <v>3.3333333333333335</v>
      </c>
      <c r="H28" s="57"/>
      <c r="I28" s="58"/>
      <c r="J28" s="58"/>
      <c r="K28" s="59"/>
      <c r="L28" s="60">
        <f t="shared" si="0"/>
        <v>0</v>
      </c>
      <c r="M28" s="56">
        <f t="shared" si="1"/>
        <v>400</v>
      </c>
      <c r="N28" s="38" t="s">
        <v>372</v>
      </c>
      <c r="O28" s="57">
        <f>M28/INDEX(Analysis!$S$5:$Y$35,MATCH('Prod Plan 0115'!$A28,Analysis!$S$5:$S$35,0),3)</f>
        <v>3.3333333333333335</v>
      </c>
      <c r="P28" s="57">
        <v>6</v>
      </c>
      <c r="Q28" s="58">
        <f t="shared" si="7"/>
        <v>0.49476224105461375</v>
      </c>
      <c r="R28" s="58">
        <f t="shared" si="8"/>
        <v>0.53874372253609526</v>
      </c>
      <c r="S28" s="59">
        <f>IF((((R28-Q28)*24)*P28)*INDEX(Analysis!$S$5:$Y$35,MATCH('Prod Plan 0115'!$A28,Analysis!$S$5:$S$35,0),3)&gt;M28,M28,(((R28-Q28)*24)*P28)*INDEX(Analysis!$S$5:$Y$35,MATCH('Prod Plan 0115'!$A28,Analysis!$S$5:$S$35,0),3))</f>
        <v>400</v>
      </c>
      <c r="T28" s="60">
        <f t="shared" si="2"/>
        <v>400</v>
      </c>
      <c r="U28" s="56">
        <f t="shared" si="3"/>
        <v>0</v>
      </c>
      <c r="W28" s="57">
        <f>U28/INDEX(Analysis!$S$5:$Y$35,MATCH('Prod Plan 0115'!$A28,Analysis!$S$5:$S$35,0),3)</f>
        <v>0</v>
      </c>
      <c r="X28" s="57"/>
      <c r="Y28" s="58"/>
      <c r="Z28" s="58"/>
      <c r="AA28" s="59"/>
      <c r="AB28" s="60">
        <f t="shared" si="4"/>
        <v>0</v>
      </c>
    </row>
    <row r="29" spans="1:28" ht="13" thickBot="1">
      <c r="A29" s="61" t="str">
        <f>'Work Steps'!C28</f>
        <v>SD8</v>
      </c>
      <c r="B29" s="73">
        <f>'Work Steps'!D28</f>
        <v>27</v>
      </c>
      <c r="C29" s="62" t="str">
        <f>'Work Steps'!F28</f>
        <v xml:space="preserve">D8. Cushion Cover </v>
      </c>
      <c r="D29" s="75" t="str">
        <f>'Work Steps'!G28</f>
        <v xml:space="preserve"> Turn right side out</v>
      </c>
      <c r="E29" s="64">
        <f>INDEX(Analysis!$S$5:$Y$35,MATCH('Prod Plan 0115'!$A29,Analysis!$S$5:$S$35,0),4)</f>
        <v>400</v>
      </c>
      <c r="F29" s="62"/>
      <c r="G29" s="65">
        <f>INDEX(Analysis!$S$5:$Y$35,MATCH('Prod Plan 0115'!$A29,Analysis!$S$5:$S$35,0),7)</f>
        <v>3.3333333333333335</v>
      </c>
      <c r="H29" s="65"/>
      <c r="I29" s="66"/>
      <c r="J29" s="66"/>
      <c r="K29" s="67"/>
      <c r="L29" s="68">
        <f t="shared" si="0"/>
        <v>0</v>
      </c>
      <c r="M29" s="64">
        <f t="shared" si="1"/>
        <v>400</v>
      </c>
      <c r="N29" s="38" t="s">
        <v>371</v>
      </c>
      <c r="O29" s="65">
        <f>M29/INDEX(Analysis!$S$5:$Y$35,MATCH('Prod Plan 0115'!$A29,Analysis!$S$5:$S$35,0),3)</f>
        <v>3.3333333333333335</v>
      </c>
      <c r="P29" s="65">
        <v>12</v>
      </c>
      <c r="Q29" s="66">
        <f t="shared" si="7"/>
        <v>0.54221594475831747</v>
      </c>
      <c r="R29" s="66">
        <f t="shared" si="8"/>
        <v>0.57462335216572491</v>
      </c>
      <c r="S29" s="67">
        <f>IF((((R29-Q29)*24)*P29)*INDEX(Analysis!$S$5:$Y$35,MATCH('Prod Plan 0115'!$A29,Analysis!$S$5:$S$35,0),3)&gt;M29,M29,(((R29-Q29)*24)*P29)*INDEX(Analysis!$S$5:$Y$35,MATCH('Prod Plan 0115'!$A29,Analysis!$S$5:$S$35,0),3))</f>
        <v>400</v>
      </c>
      <c r="T29" s="68">
        <f t="shared" si="2"/>
        <v>400</v>
      </c>
      <c r="U29" s="64">
        <f t="shared" si="3"/>
        <v>0</v>
      </c>
      <c r="V29" s="62"/>
      <c r="W29" s="65">
        <f>U29/INDEX(Analysis!$S$5:$Y$35,MATCH('Prod Plan 0115'!$A29,Analysis!$S$5:$S$35,0),3)</f>
        <v>0</v>
      </c>
      <c r="X29" s="65"/>
      <c r="Y29" s="66"/>
      <c r="Z29" s="66"/>
      <c r="AA29" s="67"/>
      <c r="AB29" s="68">
        <f t="shared" si="4"/>
        <v>0</v>
      </c>
    </row>
    <row r="30" spans="1:28">
      <c r="A30" s="46" t="str">
        <f>'Work Steps'!C29</f>
        <v>IFA</v>
      </c>
      <c r="B30" s="71">
        <f>'Work Steps'!D29</f>
        <v>28</v>
      </c>
      <c r="C30" s="47" t="str">
        <f>'Work Steps'!F29</f>
        <v xml:space="preserve">A. Inspection Quality </v>
      </c>
      <c r="D30" s="48" t="str">
        <f>'Work Steps'!G29</f>
        <v xml:space="preserve"> Clean and inspect for any loose threads, missing, flag, ect.</v>
      </c>
      <c r="E30" s="49">
        <f>INDEX(Analysis!$S$5:$Y$35,MATCH('Prod Plan 0115'!$A30,Analysis!$S$5:$S$35,0),4)</f>
        <v>400</v>
      </c>
      <c r="F30" s="47"/>
      <c r="G30" s="50">
        <f>INDEX(Analysis!$S$5:$Y$35,MATCH('Prod Plan 0115'!$A30,Analysis!$S$5:$S$35,0),7)</f>
        <v>3.3333333333333335</v>
      </c>
      <c r="H30" s="50"/>
      <c r="I30" s="51"/>
      <c r="J30" s="51"/>
      <c r="K30" s="52"/>
      <c r="L30" s="53">
        <f t="shared" si="0"/>
        <v>0</v>
      </c>
      <c r="M30" s="49">
        <f t="shared" si="1"/>
        <v>400</v>
      </c>
      <c r="N30" s="47" t="s">
        <v>371</v>
      </c>
      <c r="O30" s="50">
        <f>M30/INDEX(Analysis!$S$5:$Y$35,MATCH('Prod Plan 0115'!$A30,Analysis!$S$5:$S$35,0),3)</f>
        <v>3.3333333333333335</v>
      </c>
      <c r="P30" s="50">
        <v>12</v>
      </c>
      <c r="Q30" s="51">
        <f t="shared" si="7"/>
        <v>0.57809557438794712</v>
      </c>
      <c r="R30" s="51">
        <f t="shared" ref="R30:R33" si="9">IF((Q30+(O30/P30)/24)+(0.5/24)&gt;0.6875,0.6875,(Q30+(O30/P30)/24)+(0.5/24))</f>
        <v>0.61050298179535456</v>
      </c>
      <c r="S30" s="52">
        <f>IF((((R30-Q30)*24)*P30)*INDEX(Analysis!$S$5:$Y$35,MATCH('Prod Plan 0115'!$A30,Analysis!$S$5:$S$35,0),3)&gt;M30,M30,(((R30-Q30)*24)*P30)*INDEX(Analysis!$S$5:$Y$35,MATCH('Prod Plan 0115'!$A30,Analysis!$S$5:$S$35,0),3))</f>
        <v>400</v>
      </c>
      <c r="T30" s="53">
        <f t="shared" si="2"/>
        <v>400</v>
      </c>
      <c r="U30" s="49">
        <f t="shared" si="3"/>
        <v>0</v>
      </c>
      <c r="V30" s="47"/>
      <c r="W30" s="50">
        <f>U30/INDEX(Analysis!$S$5:$Y$35,MATCH('Prod Plan 0115'!$A30,Analysis!$S$5:$S$35,0),3)</f>
        <v>0</v>
      </c>
      <c r="X30" s="50"/>
      <c r="Y30" s="51"/>
      <c r="Z30" s="51"/>
      <c r="AA30" s="52"/>
      <c r="AB30" s="53">
        <f t="shared" si="4"/>
        <v>0</v>
      </c>
    </row>
    <row r="31" spans="1:28">
      <c r="A31" s="54" t="str">
        <f>'Work Steps'!C30</f>
        <v>IFB</v>
      </c>
      <c r="B31" s="72">
        <f>'Work Steps'!D30</f>
        <v>29</v>
      </c>
      <c r="C31" s="38" t="str">
        <f>'Work Steps'!F30</f>
        <v xml:space="preserve">B. Inspection Insert Foam </v>
      </c>
      <c r="D31" s="55" t="str">
        <f>'Work Steps'!G30</f>
        <v xml:space="preserve"> Insert foam piece into the headrest.</v>
      </c>
      <c r="E31" s="56">
        <f>INDEX(Analysis!$S$5:$Y$35,MATCH('Prod Plan 0115'!$A31,Analysis!$S$5:$S$35,0),4)</f>
        <v>400</v>
      </c>
      <c r="G31" s="57">
        <f>INDEX(Analysis!$S$5:$Y$35,MATCH('Prod Plan 0115'!$A31,Analysis!$S$5:$S$35,0),7)</f>
        <v>5.5555555555555554</v>
      </c>
      <c r="H31" s="57"/>
      <c r="I31" s="58"/>
      <c r="J31" s="58"/>
      <c r="K31" s="59"/>
      <c r="L31" s="60">
        <f t="shared" si="0"/>
        <v>0</v>
      </c>
      <c r="M31" s="56">
        <f t="shared" si="1"/>
        <v>400</v>
      </c>
      <c r="O31" s="57">
        <f>M31/INDEX(Analysis!$S$5:$Y$35,MATCH('Prod Plan 0115'!$A31,Analysis!$S$5:$S$35,0),3)</f>
        <v>5.5555555555555554</v>
      </c>
      <c r="P31" s="57">
        <v>12</v>
      </c>
      <c r="Q31" s="58">
        <f t="shared" si="7"/>
        <v>0.61397520401757677</v>
      </c>
      <c r="R31" s="58">
        <f t="shared" si="9"/>
        <v>0.65409866080770029</v>
      </c>
      <c r="S31" s="59">
        <f>IF((((R31-Q31)*24)*P31)*INDEX(Analysis!$S$5:$Y$35,MATCH('Prod Plan 0115'!$A31,Analysis!$S$5:$S$35,0),3)&gt;M31,M31,(((R31-Q31)*24)*P31)*INDEX(Analysis!$S$5:$Y$35,MATCH('Prod Plan 0115'!$A31,Analysis!$S$5:$S$35,0),3))</f>
        <v>400</v>
      </c>
      <c r="T31" s="60">
        <f t="shared" si="2"/>
        <v>400</v>
      </c>
      <c r="U31" s="56">
        <f t="shared" si="3"/>
        <v>0</v>
      </c>
      <c r="W31" s="57">
        <f>U31/INDEX(Analysis!$S$5:$Y$35,MATCH('Prod Plan 0115'!$A31,Analysis!$S$5:$S$35,0),3)</f>
        <v>0</v>
      </c>
      <c r="X31" s="57"/>
      <c r="Y31" s="58"/>
      <c r="Z31" s="58"/>
      <c r="AA31" s="59"/>
      <c r="AB31" s="60">
        <f t="shared" si="4"/>
        <v>0</v>
      </c>
    </row>
    <row r="32" spans="1:28">
      <c r="A32" s="54" t="str">
        <f>'Work Steps'!C31</f>
        <v>IFC</v>
      </c>
      <c r="B32" s="72">
        <f>'Work Steps'!D31</f>
        <v>30</v>
      </c>
      <c r="C32" s="38" t="str">
        <f>'Work Steps'!F31</f>
        <v xml:space="preserve">C. Inspection Bag </v>
      </c>
      <c r="D32" s="55" t="str">
        <f>'Work Steps'!G31</f>
        <v xml:space="preserve"> Individually bagged into poly bag S-1997 Size: 9 x 24</v>
      </c>
      <c r="E32" s="56">
        <f>INDEX(Analysis!$S$5:$Y$35,MATCH('Prod Plan 0115'!$A32,Analysis!$S$5:$S$35,0),4)</f>
        <v>400</v>
      </c>
      <c r="G32" s="57">
        <f>INDEX(Analysis!$S$5:$Y$35,MATCH('Prod Plan 0115'!$A32,Analysis!$S$5:$S$35,0),7)</f>
        <v>3.3333333333333335</v>
      </c>
      <c r="H32" s="57"/>
      <c r="I32" s="58"/>
      <c r="J32" s="58"/>
      <c r="K32" s="59"/>
      <c r="L32" s="60">
        <f t="shared" si="0"/>
        <v>0</v>
      </c>
      <c r="M32" s="56">
        <f t="shared" si="1"/>
        <v>400</v>
      </c>
      <c r="O32" s="57">
        <f>M32/INDEX(Analysis!$S$5:$Y$35,MATCH('Prod Plan 0115'!$A32,Analysis!$S$5:$S$35,0),3)</f>
        <v>3.3333333333333335</v>
      </c>
      <c r="P32" s="57">
        <v>12</v>
      </c>
      <c r="Q32" s="58">
        <f t="shared" si="7"/>
        <v>0.6575708830299225</v>
      </c>
      <c r="R32" s="58">
        <f t="shared" si="9"/>
        <v>0.6875</v>
      </c>
      <c r="S32" s="59">
        <f>IF((((R32-Q32)*24)*P32)*INDEX(Analysis!$S$5:$Y$35,MATCH('Prod Plan 0115'!$A32,Analysis!$S$5:$S$35,0),3)&gt;M32,M32,(((R32-Q32)*24)*P32)*INDEX(Analysis!$S$5:$Y$35,MATCH('Prod Plan 0115'!$A32,Analysis!$S$5:$S$35,0),3))</f>
        <v>400</v>
      </c>
      <c r="T32" s="60">
        <f t="shared" si="2"/>
        <v>400</v>
      </c>
      <c r="U32" s="56">
        <f t="shared" si="3"/>
        <v>0</v>
      </c>
      <c r="W32" s="57">
        <f>U32/INDEX(Analysis!$S$5:$Y$35,MATCH('Prod Plan 0115'!$A32,Analysis!$S$5:$S$35,0),3)</f>
        <v>0</v>
      </c>
      <c r="X32" s="57"/>
      <c r="Y32" s="58"/>
      <c r="Z32" s="58"/>
      <c r="AA32" s="59"/>
      <c r="AB32" s="60">
        <f t="shared" si="4"/>
        <v>0</v>
      </c>
    </row>
    <row r="33" spans="1:28" ht="13" thickBot="1">
      <c r="A33" s="61" t="str">
        <f>'Work Steps'!C32</f>
        <v>IFD</v>
      </c>
      <c r="B33" s="73">
        <f>'Work Steps'!D32</f>
        <v>31</v>
      </c>
      <c r="C33" s="62" t="str">
        <f>'Work Steps'!F32</f>
        <v xml:space="preserve">D. Inspection Pack </v>
      </c>
      <c r="D33" s="63" t="str">
        <f>'Work Steps'!G32</f>
        <v xml:space="preserve"> Pack into cartons </v>
      </c>
      <c r="E33" s="64">
        <f>INDEX(Analysis!$S$5:$Y$35,MATCH('Prod Plan 0115'!$A33,Analysis!$S$5:$S$35,0),4)</f>
        <v>400</v>
      </c>
      <c r="F33" s="62"/>
      <c r="G33" s="65">
        <f>INDEX(Analysis!$S$5:$Y$35,MATCH('Prod Plan 0115'!$A33,Analysis!$S$5:$S$35,0),7)</f>
        <v>6.666666666666667</v>
      </c>
      <c r="H33" s="65"/>
      <c r="I33" s="66"/>
      <c r="J33" s="66"/>
      <c r="K33" s="67"/>
      <c r="L33" s="68">
        <f t="shared" si="0"/>
        <v>0</v>
      </c>
      <c r="M33" s="64">
        <f t="shared" si="1"/>
        <v>400</v>
      </c>
      <c r="N33" s="62"/>
      <c r="O33" s="65">
        <f>M33/INDEX(Analysis!$S$5:$Y$35,MATCH('Prod Plan 0115'!$A33,Analysis!$S$5:$S$35,0),3)</f>
        <v>6.666666666666667</v>
      </c>
      <c r="P33" s="65">
        <v>12</v>
      </c>
      <c r="Q33" s="66">
        <f t="shared" si="7"/>
        <v>0.69097222222222221</v>
      </c>
      <c r="R33" s="66">
        <f t="shared" si="9"/>
        <v>0.6875</v>
      </c>
      <c r="S33" s="67">
        <f>IF((((R33-Q33)*24)*P33)*INDEX(Analysis!$S$5:$Y$35,MATCH('Prod Plan 0115'!$A33,Analysis!$S$5:$S$35,0),3)&gt;M33,M33,(((R33-Q33)*24)*P33)*INDEX(Analysis!$S$5:$Y$35,MATCH('Prod Plan 0115'!$A33,Analysis!$S$5:$S$35,0),3))</f>
        <v>-59.999999999999787</v>
      </c>
      <c r="T33" s="68">
        <f t="shared" si="2"/>
        <v>-59.999999999999787</v>
      </c>
      <c r="U33" s="64">
        <f t="shared" si="3"/>
        <v>459.99999999999977</v>
      </c>
      <c r="V33" s="62"/>
      <c r="W33" s="65">
        <f>U33/INDEX(Analysis!$S$5:$Y$35,MATCH('Prod Plan 0115'!$A33,Analysis!$S$5:$S$35,0),3)</f>
        <v>7.6666666666666625</v>
      </c>
      <c r="X33" s="65"/>
      <c r="Y33" s="66"/>
      <c r="Z33" s="66"/>
      <c r="AA33" s="67"/>
      <c r="AB33" s="68">
        <f t="shared" si="4"/>
        <v>-59.999999999999773</v>
      </c>
    </row>
    <row r="36" spans="1:28">
      <c r="J36" s="74"/>
    </row>
  </sheetData>
  <mergeCells count="3">
    <mergeCell ref="E1:L1"/>
    <mergeCell ref="M1:T1"/>
    <mergeCell ref="U1:AB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2328-BB21-4241-BFF2-B17CF2CD6921}">
  <dimension ref="A1:AB33"/>
  <sheetViews>
    <sheetView workbookViewId="0">
      <pane ySplit="2" topLeftCell="A3" activePane="bottomLeft" state="frozen"/>
      <selection pane="bottomLeft" activeCell="AB3" sqref="AB3:AB33"/>
    </sheetView>
  </sheetViews>
  <sheetFormatPr baseColWidth="10" defaultRowHeight="12"/>
  <cols>
    <col min="1" max="1" width="5" style="38" bestFit="1" customWidth="1"/>
    <col min="2" max="2" width="7.5" style="38" customWidth="1"/>
    <col min="3" max="3" width="20.1640625" style="38" bestFit="1" customWidth="1"/>
    <col min="4" max="4" width="55.1640625" style="38" bestFit="1" customWidth="1"/>
    <col min="5" max="5" width="8.5" style="38" customWidth="1"/>
    <col min="6" max="6" width="6.6640625" style="38" bestFit="1" customWidth="1"/>
    <col min="7" max="7" width="9.1640625" style="38" customWidth="1"/>
    <col min="8" max="8" width="10.5" style="38" bestFit="1" customWidth="1"/>
    <col min="9" max="9" width="9.5" style="38" bestFit="1" customWidth="1"/>
    <col min="10" max="10" width="10.83203125" style="38" bestFit="1" customWidth="1"/>
    <col min="11" max="11" width="10.33203125" style="38" bestFit="1" customWidth="1"/>
    <col min="12" max="12" width="11.33203125" style="38" bestFit="1" customWidth="1"/>
    <col min="13" max="16384" width="10.83203125" style="38"/>
  </cols>
  <sheetData>
    <row r="1" spans="1:28">
      <c r="E1" s="39" t="s">
        <v>358</v>
      </c>
      <c r="F1" s="40"/>
      <c r="G1" s="40"/>
      <c r="H1" s="40"/>
      <c r="I1" s="40"/>
      <c r="J1" s="40"/>
      <c r="K1" s="40"/>
      <c r="L1" s="41"/>
      <c r="M1" s="39" t="s">
        <v>360</v>
      </c>
      <c r="N1" s="40"/>
      <c r="O1" s="40"/>
      <c r="P1" s="40"/>
      <c r="Q1" s="40"/>
      <c r="R1" s="40"/>
      <c r="S1" s="40"/>
      <c r="T1" s="41"/>
      <c r="U1" s="39" t="s">
        <v>361</v>
      </c>
      <c r="V1" s="40"/>
      <c r="W1" s="40"/>
      <c r="X1" s="40"/>
      <c r="Y1" s="40"/>
      <c r="Z1" s="40"/>
      <c r="AA1" s="40"/>
      <c r="AB1" s="41"/>
    </row>
    <row r="2" spans="1:28" ht="27" thickBot="1">
      <c r="A2" s="69" t="s">
        <v>116</v>
      </c>
      <c r="B2" s="70" t="s">
        <v>196</v>
      </c>
      <c r="C2" s="42" t="s">
        <v>118</v>
      </c>
      <c r="D2" s="42" t="s">
        <v>119</v>
      </c>
      <c r="E2" s="43" t="s">
        <v>359</v>
      </c>
      <c r="F2" s="44" t="s">
        <v>346</v>
      </c>
      <c r="G2" s="44" t="s">
        <v>347</v>
      </c>
      <c r="H2" s="44" t="s">
        <v>348</v>
      </c>
      <c r="I2" s="44" t="s">
        <v>302</v>
      </c>
      <c r="J2" s="44" t="s">
        <v>303</v>
      </c>
      <c r="K2" s="44" t="s">
        <v>349</v>
      </c>
      <c r="L2" s="45" t="s">
        <v>350</v>
      </c>
      <c r="M2" s="43" t="s">
        <v>359</v>
      </c>
      <c r="N2" s="44" t="s">
        <v>346</v>
      </c>
      <c r="O2" s="44" t="s">
        <v>347</v>
      </c>
      <c r="P2" s="44" t="s">
        <v>348</v>
      </c>
      <c r="Q2" s="44" t="s">
        <v>302</v>
      </c>
      <c r="R2" s="44" t="s">
        <v>303</v>
      </c>
      <c r="S2" s="44" t="s">
        <v>349</v>
      </c>
      <c r="T2" s="45" t="s">
        <v>350</v>
      </c>
      <c r="U2" s="43" t="s">
        <v>359</v>
      </c>
      <c r="V2" s="44" t="s">
        <v>346</v>
      </c>
      <c r="W2" s="44" t="s">
        <v>347</v>
      </c>
      <c r="X2" s="44" t="s">
        <v>348</v>
      </c>
      <c r="Y2" s="44" t="s">
        <v>302</v>
      </c>
      <c r="Z2" s="44" t="s">
        <v>303</v>
      </c>
      <c r="AA2" s="44" t="s">
        <v>349</v>
      </c>
      <c r="AB2" s="45" t="s">
        <v>350</v>
      </c>
    </row>
    <row r="3" spans="1:28">
      <c r="A3" s="46" t="str">
        <f>'Work Steps'!C2</f>
        <v>CFA1</v>
      </c>
      <c r="B3" s="71">
        <f>'Work Steps'!D2</f>
        <v>1</v>
      </c>
      <c r="C3" s="47" t="str">
        <f>'Work Steps'!F2</f>
        <v>Fabric</v>
      </c>
      <c r="D3" s="48" t="str">
        <f>'Work Steps'!G2</f>
        <v>Cut Fabric</v>
      </c>
      <c r="E3" s="49">
        <f>INDEX(Analysis!$S$5:$Y$35,MATCH('Prod Plan G'!$A3,Analysis!$S$5:$S$35,0),4)</f>
        <v>0</v>
      </c>
      <c r="F3" s="47"/>
      <c r="G3" s="50">
        <f>INDEX(Analysis!$S$5:$Y$35,MATCH('Prod Plan G'!$A3,Analysis!$S$5:$S$35,0),7)</f>
        <v>0</v>
      </c>
      <c r="H3" s="50"/>
      <c r="I3" s="51"/>
      <c r="J3" s="51"/>
      <c r="K3" s="52"/>
      <c r="L3" s="53">
        <f>IF(E3=0,0,400-E3+K3)</f>
        <v>0</v>
      </c>
      <c r="M3" s="49">
        <f>E3-K3</f>
        <v>0</v>
      </c>
      <c r="N3" s="47"/>
      <c r="O3" s="50">
        <f>M3/INDEX(Analysis!$S$5:$Y$35,MATCH('Prod Plan G'!$A3,Analysis!$S$5:$S$35,0),3)</f>
        <v>0</v>
      </c>
      <c r="P3" s="50"/>
      <c r="Q3" s="51"/>
      <c r="R3" s="51"/>
      <c r="S3" s="52"/>
      <c r="T3" s="53">
        <f>IF(M3=0,0,400-M3+S3)</f>
        <v>0</v>
      </c>
      <c r="U3" s="49">
        <f>M3-S3</f>
        <v>0</v>
      </c>
      <c r="V3" s="47"/>
      <c r="W3" s="50">
        <f>U3/INDEX(Analysis!$S$5:$Y$35,MATCH('Prod Plan G'!$A3,Analysis!$S$5:$S$35,0),3)</f>
        <v>0</v>
      </c>
      <c r="X3" s="50"/>
      <c r="Y3" s="51"/>
      <c r="Z3" s="51"/>
      <c r="AA3" s="52"/>
      <c r="AB3" s="53">
        <f>IF(U3=0,0,400-U3+AA3)</f>
        <v>0</v>
      </c>
    </row>
    <row r="4" spans="1:28">
      <c r="A4" s="54" t="str">
        <f>'Work Steps'!C3</f>
        <v>CTA1</v>
      </c>
      <c r="B4" s="72">
        <f>'Work Steps'!D3</f>
        <v>2</v>
      </c>
      <c r="C4" s="38" t="str">
        <f>'Work Steps'!F3</f>
        <v>Trim</v>
      </c>
      <c r="D4" s="55" t="str">
        <f>'Work Steps'!G3</f>
        <v xml:space="preserve"> Cut Velcro</v>
      </c>
      <c r="E4" s="56">
        <f>INDEX(Analysis!$S$5:$Y$35,MATCH('Prod Plan G'!$A4,Analysis!$S$5:$S$35,0),4)</f>
        <v>0</v>
      </c>
      <c r="G4" s="57">
        <f>INDEX(Analysis!$S$5:$Y$35,MATCH('Prod Plan G'!$A4,Analysis!$S$5:$S$35,0),7)</f>
        <v>0</v>
      </c>
      <c r="H4" s="57"/>
      <c r="I4" s="58"/>
      <c r="J4" s="58"/>
      <c r="K4" s="59"/>
      <c r="L4" s="60">
        <f t="shared" ref="L4:L33" si="0">IF(E4=0,0,400-E4+K4)</f>
        <v>0</v>
      </c>
      <c r="M4" s="56">
        <f t="shared" ref="M4:M33" si="1">E4-K4</f>
        <v>0</v>
      </c>
      <c r="O4" s="57">
        <f>M4/INDEX(Analysis!$S$5:$Y$35,MATCH('Prod Plan G'!$A4,Analysis!$S$5:$S$35,0),3)</f>
        <v>0</v>
      </c>
      <c r="P4" s="57"/>
      <c r="Q4" s="58"/>
      <c r="R4" s="58"/>
      <c r="S4" s="59"/>
      <c r="T4" s="60">
        <f t="shared" ref="T4:T33" si="2">IF(M4=0,0,400-M4+S4)</f>
        <v>0</v>
      </c>
      <c r="U4" s="56">
        <f t="shared" ref="U4:U33" si="3">M4-S4</f>
        <v>0</v>
      </c>
      <c r="W4" s="57">
        <f>U4/INDEX(Analysis!$S$5:$Y$35,MATCH('Prod Plan G'!$A4,Analysis!$S$5:$S$35,0),3)</f>
        <v>0</v>
      </c>
      <c r="X4" s="57"/>
      <c r="Y4" s="58"/>
      <c r="Z4" s="58"/>
      <c r="AA4" s="59"/>
      <c r="AB4" s="60">
        <f t="shared" ref="AB4:AB33" si="4">IF(U4=0,0,400-U4+AA4)</f>
        <v>0</v>
      </c>
    </row>
    <row r="5" spans="1:28" ht="13" thickBot="1">
      <c r="A5" s="61" t="str">
        <f>'Work Steps'!C4</f>
        <v>PSA1</v>
      </c>
      <c r="B5" s="73">
        <f>'Work Steps'!D4</f>
        <v>3</v>
      </c>
      <c r="C5" s="62" t="str">
        <f>'Work Steps'!F4</f>
        <v>Fabric</v>
      </c>
      <c r="D5" s="63" t="str">
        <f>'Work Steps'!G4</f>
        <v xml:space="preserve"> Sew flag on panel</v>
      </c>
      <c r="E5" s="64">
        <f>INDEX(Analysis!$S$5:$Y$35,MATCH('Prod Plan G'!$A5,Analysis!$S$5:$S$35,0),4)</f>
        <v>0</v>
      </c>
      <c r="F5" s="62"/>
      <c r="G5" s="65">
        <f>INDEX(Analysis!$S$5:$Y$35,MATCH('Prod Plan G'!$A5,Analysis!$S$5:$S$35,0),7)</f>
        <v>0</v>
      </c>
      <c r="H5" s="65"/>
      <c r="I5" s="66"/>
      <c r="J5" s="66"/>
      <c r="K5" s="67"/>
      <c r="L5" s="68">
        <f t="shared" si="0"/>
        <v>0</v>
      </c>
      <c r="M5" s="64">
        <f t="shared" si="1"/>
        <v>0</v>
      </c>
      <c r="N5" s="62"/>
      <c r="O5" s="65">
        <f>M5/INDEX(Analysis!$S$5:$Y$35,MATCH('Prod Plan G'!$A5,Analysis!$S$5:$S$35,0),3)</f>
        <v>0</v>
      </c>
      <c r="P5" s="65"/>
      <c r="Q5" s="66"/>
      <c r="R5" s="66"/>
      <c r="S5" s="67"/>
      <c r="T5" s="68">
        <f t="shared" si="2"/>
        <v>0</v>
      </c>
      <c r="U5" s="64">
        <f t="shared" si="3"/>
        <v>0</v>
      </c>
      <c r="V5" s="62"/>
      <c r="W5" s="65">
        <f>U5/INDEX(Analysis!$S$5:$Y$35,MATCH('Prod Plan G'!$A5,Analysis!$S$5:$S$35,0),3)</f>
        <v>0</v>
      </c>
      <c r="X5" s="65"/>
      <c r="Y5" s="66"/>
      <c r="Z5" s="66"/>
      <c r="AA5" s="67"/>
      <c r="AB5" s="68">
        <f t="shared" si="4"/>
        <v>0</v>
      </c>
    </row>
    <row r="6" spans="1:28">
      <c r="A6" s="46" t="str">
        <f>'Work Steps'!C5</f>
        <v>SA1</v>
      </c>
      <c r="B6" s="71">
        <f>'Work Steps'!D5</f>
        <v>4</v>
      </c>
      <c r="C6" s="47" t="str">
        <f>'Work Steps'!F5</f>
        <v xml:space="preserve">A1. Small Velcro Pocket </v>
      </c>
      <c r="D6" s="48" t="str">
        <f>'Work Steps'!G5</f>
        <v xml:space="preserve"> Hem short edge</v>
      </c>
      <c r="E6" s="49">
        <f>INDEX(Analysis!$S$5:$Y$35,MATCH('Prod Plan G'!$A6,Analysis!$S$5:$S$35,0),4)</f>
        <v>200</v>
      </c>
      <c r="F6" s="47"/>
      <c r="G6" s="50">
        <f>INDEX(Analysis!$S$5:$Y$35,MATCH('Prod Plan G'!$A6,Analysis!$S$5:$S$35,0),7)</f>
        <v>2.814569536423841</v>
      </c>
      <c r="H6" s="50"/>
      <c r="I6" s="51"/>
      <c r="J6" s="51"/>
      <c r="K6" s="52"/>
      <c r="L6" s="53">
        <f t="shared" si="0"/>
        <v>200</v>
      </c>
      <c r="M6" s="49">
        <f t="shared" si="1"/>
        <v>200</v>
      </c>
      <c r="N6" s="47"/>
      <c r="O6" s="50">
        <f>M6/INDEX(Analysis!$S$5:$Y$35,MATCH('Prod Plan G'!$A6,Analysis!$S$5:$S$35,0),3)</f>
        <v>2.814569536423841</v>
      </c>
      <c r="P6" s="50"/>
      <c r="Q6" s="51"/>
      <c r="R6" s="51"/>
      <c r="S6" s="52"/>
      <c r="T6" s="53">
        <f t="shared" si="2"/>
        <v>200</v>
      </c>
      <c r="U6" s="49">
        <f t="shared" si="3"/>
        <v>200</v>
      </c>
      <c r="V6" s="47"/>
      <c r="W6" s="50">
        <f>U6/INDEX(Analysis!$S$5:$Y$35,MATCH('Prod Plan G'!$A6,Analysis!$S$5:$S$35,0),3)</f>
        <v>2.814569536423841</v>
      </c>
      <c r="X6" s="50"/>
      <c r="Y6" s="51"/>
      <c r="Z6" s="51"/>
      <c r="AA6" s="52"/>
      <c r="AB6" s="53">
        <f t="shared" si="4"/>
        <v>200</v>
      </c>
    </row>
    <row r="7" spans="1:28" ht="13" thickBot="1">
      <c r="A7" s="61" t="str">
        <f>'Work Steps'!C6</f>
        <v>SA2</v>
      </c>
      <c r="B7" s="73">
        <f>'Work Steps'!D6</f>
        <v>5</v>
      </c>
      <c r="C7" s="62" t="str">
        <f>'Work Steps'!F6</f>
        <v xml:space="preserve">A2. Small Velcro Pocket </v>
      </c>
      <c r="D7" s="63" t="str">
        <f>'Work Steps'!G6</f>
        <v xml:space="preserve"> Sew hook velcro</v>
      </c>
      <c r="E7" s="64">
        <f>INDEX(Analysis!$S$5:$Y$35,MATCH('Prod Plan G'!$A7,Analysis!$S$5:$S$35,0),4)</f>
        <v>400</v>
      </c>
      <c r="F7" s="62"/>
      <c r="G7" s="65">
        <f>INDEX(Analysis!$S$5:$Y$35,MATCH('Prod Plan G'!$A7,Analysis!$S$5:$S$35,0),7)</f>
        <v>10.457516339869281</v>
      </c>
      <c r="H7" s="65"/>
      <c r="I7" s="66"/>
      <c r="J7" s="66"/>
      <c r="K7" s="67"/>
      <c r="L7" s="68">
        <f t="shared" si="0"/>
        <v>0</v>
      </c>
      <c r="M7" s="64">
        <f t="shared" si="1"/>
        <v>400</v>
      </c>
      <c r="N7" s="62"/>
      <c r="O7" s="65">
        <f>M7/INDEX(Analysis!$S$5:$Y$35,MATCH('Prod Plan G'!$A7,Analysis!$S$5:$S$35,0),3)</f>
        <v>10.457516339869281</v>
      </c>
      <c r="P7" s="65"/>
      <c r="Q7" s="66"/>
      <c r="R7" s="66"/>
      <c r="S7" s="67"/>
      <c r="T7" s="68">
        <f t="shared" si="2"/>
        <v>0</v>
      </c>
      <c r="U7" s="64">
        <f t="shared" si="3"/>
        <v>400</v>
      </c>
      <c r="V7" s="62"/>
      <c r="W7" s="65">
        <f>U7/INDEX(Analysis!$S$5:$Y$35,MATCH('Prod Plan G'!$A7,Analysis!$S$5:$S$35,0),3)</f>
        <v>10.457516339869281</v>
      </c>
      <c r="X7" s="65"/>
      <c r="Y7" s="66"/>
      <c r="Z7" s="66"/>
      <c r="AA7" s="67"/>
      <c r="AB7" s="68">
        <f t="shared" si="4"/>
        <v>0</v>
      </c>
    </row>
    <row r="8" spans="1:28">
      <c r="A8" s="46" t="str">
        <f>'Work Steps'!C7</f>
        <v>SB1</v>
      </c>
      <c r="B8" s="71">
        <f>'Work Steps'!D7</f>
        <v>6</v>
      </c>
      <c r="C8" s="47" t="str">
        <f>'Work Steps'!F7</f>
        <v xml:space="preserve">B1. Connector Strap </v>
      </c>
      <c r="D8" s="48" t="str">
        <f>'Work Steps'!G7</f>
        <v xml:space="preserve"> Sew the panel together along the long sides</v>
      </c>
      <c r="E8" s="49">
        <f>INDEX(Analysis!$S$5:$Y$35,MATCH('Prod Plan G'!$A8,Analysis!$S$5:$S$35,0),4)</f>
        <v>0</v>
      </c>
      <c r="F8" s="47"/>
      <c r="G8" s="50">
        <f>INDEX(Analysis!$S$5:$Y$35,MATCH('Prod Plan G'!$A8,Analysis!$S$5:$S$35,0),7)</f>
        <v>0</v>
      </c>
      <c r="H8" s="50"/>
      <c r="I8" s="51"/>
      <c r="J8" s="51"/>
      <c r="K8" s="52"/>
      <c r="L8" s="53">
        <f t="shared" si="0"/>
        <v>0</v>
      </c>
      <c r="M8" s="49">
        <f t="shared" si="1"/>
        <v>0</v>
      </c>
      <c r="N8" s="47"/>
      <c r="O8" s="50">
        <f>M8/INDEX(Analysis!$S$5:$Y$35,MATCH('Prod Plan G'!$A8,Analysis!$S$5:$S$35,0),3)</f>
        <v>0</v>
      </c>
      <c r="P8" s="50"/>
      <c r="Q8" s="51"/>
      <c r="R8" s="51"/>
      <c r="S8" s="52"/>
      <c r="T8" s="53">
        <f t="shared" si="2"/>
        <v>0</v>
      </c>
      <c r="U8" s="49">
        <f t="shared" si="3"/>
        <v>0</v>
      </c>
      <c r="V8" s="47"/>
      <c r="W8" s="50">
        <f>U8/INDEX(Analysis!$S$5:$Y$35,MATCH('Prod Plan G'!$A8,Analysis!$S$5:$S$35,0),3)</f>
        <v>0</v>
      </c>
      <c r="X8" s="50"/>
      <c r="Y8" s="51"/>
      <c r="Z8" s="51"/>
      <c r="AA8" s="52"/>
      <c r="AB8" s="53">
        <f t="shared" si="4"/>
        <v>0</v>
      </c>
    </row>
    <row r="9" spans="1:28">
      <c r="A9" s="54" t="str">
        <f>'Work Steps'!C8</f>
        <v>SB2</v>
      </c>
      <c r="B9" s="72">
        <f>'Work Steps'!D8</f>
        <v>7</v>
      </c>
      <c r="C9" s="38" t="str">
        <f>'Work Steps'!F8</f>
        <v xml:space="preserve">B2. Connector Strap </v>
      </c>
      <c r="D9" s="55" t="str">
        <f>'Work Steps'!G8</f>
        <v xml:space="preserve"> Turn inside out</v>
      </c>
      <c r="E9" s="56">
        <f>INDEX(Analysis!$S$5:$Y$35,MATCH('Prod Plan G'!$A9,Analysis!$S$5:$S$35,0),4)</f>
        <v>0</v>
      </c>
      <c r="G9" s="57">
        <f>INDEX(Analysis!$S$5:$Y$35,MATCH('Prod Plan G'!$A9,Analysis!$S$5:$S$35,0),7)</f>
        <v>0</v>
      </c>
      <c r="H9" s="57"/>
      <c r="I9" s="58"/>
      <c r="J9" s="58"/>
      <c r="K9" s="59"/>
      <c r="L9" s="60">
        <f t="shared" si="0"/>
        <v>0</v>
      </c>
      <c r="M9" s="56">
        <f t="shared" si="1"/>
        <v>0</v>
      </c>
      <c r="O9" s="57">
        <f>M9/INDEX(Analysis!$S$5:$Y$35,MATCH('Prod Plan G'!$A9,Analysis!$S$5:$S$35,0),3)</f>
        <v>0</v>
      </c>
      <c r="P9" s="57"/>
      <c r="Q9" s="58"/>
      <c r="R9" s="58"/>
      <c r="S9" s="59"/>
      <c r="T9" s="60">
        <f t="shared" si="2"/>
        <v>0</v>
      </c>
      <c r="U9" s="56">
        <f t="shared" si="3"/>
        <v>0</v>
      </c>
      <c r="W9" s="57">
        <f>U9/INDEX(Analysis!$S$5:$Y$35,MATCH('Prod Plan G'!$A9,Analysis!$S$5:$S$35,0),3)</f>
        <v>0</v>
      </c>
      <c r="X9" s="57"/>
      <c r="Y9" s="58"/>
      <c r="Z9" s="58"/>
      <c r="AA9" s="59"/>
      <c r="AB9" s="60">
        <f t="shared" si="4"/>
        <v>0</v>
      </c>
    </row>
    <row r="10" spans="1:28">
      <c r="A10" s="54" t="str">
        <f>'Work Steps'!C9</f>
        <v>SB3</v>
      </c>
      <c r="B10" s="72">
        <f>'Work Steps'!D9</f>
        <v>8</v>
      </c>
      <c r="C10" s="38" t="str">
        <f>'Work Steps'!F9</f>
        <v xml:space="preserve">B3. Connector Strap </v>
      </c>
      <c r="D10" s="55" t="str">
        <f>'Work Steps'!G9</f>
        <v xml:space="preserve"> Sew the 2 long sides of the connector Strap  panel</v>
      </c>
      <c r="E10" s="56">
        <f>INDEX(Analysis!$S$5:$Y$35,MATCH('Prod Plan G'!$A10,Analysis!$S$5:$S$35,0),4)</f>
        <v>18</v>
      </c>
      <c r="G10" s="57">
        <f>INDEX(Analysis!$S$5:$Y$35,MATCH('Prod Plan G'!$A10,Analysis!$S$5:$S$35,0),7)</f>
        <v>0.28548964320572606</v>
      </c>
      <c r="H10" s="57"/>
      <c r="I10" s="58"/>
      <c r="J10" s="58"/>
      <c r="K10" s="59"/>
      <c r="L10" s="60">
        <f t="shared" si="0"/>
        <v>382</v>
      </c>
      <c r="M10" s="56">
        <f t="shared" si="1"/>
        <v>18</v>
      </c>
      <c r="O10" s="57">
        <f>M10/INDEX(Analysis!$S$5:$Y$35,MATCH('Prod Plan G'!$A10,Analysis!$S$5:$S$35,0),3)</f>
        <v>0.28548964320572606</v>
      </c>
      <c r="P10" s="57"/>
      <c r="Q10" s="58"/>
      <c r="R10" s="58"/>
      <c r="S10" s="59"/>
      <c r="T10" s="60">
        <f t="shared" si="2"/>
        <v>382</v>
      </c>
      <c r="U10" s="56">
        <f t="shared" si="3"/>
        <v>18</v>
      </c>
      <c r="W10" s="57">
        <f>U10/INDEX(Analysis!$S$5:$Y$35,MATCH('Prod Plan G'!$A10,Analysis!$S$5:$S$35,0),3)</f>
        <v>0.28548964320572606</v>
      </c>
      <c r="X10" s="57"/>
      <c r="Y10" s="58"/>
      <c r="Z10" s="58"/>
      <c r="AA10" s="59"/>
      <c r="AB10" s="60">
        <f t="shared" si="4"/>
        <v>382</v>
      </c>
    </row>
    <row r="11" spans="1:28">
      <c r="A11" s="54" t="str">
        <f>'Work Steps'!C10</f>
        <v>SB4</v>
      </c>
      <c r="B11" s="72">
        <f>'Work Steps'!D10</f>
        <v>9</v>
      </c>
      <c r="C11" s="38" t="str">
        <f>'Work Steps'!F10</f>
        <v xml:space="preserve">B4. Connector Strap </v>
      </c>
      <c r="D11" s="55" t="str">
        <f>'Work Steps'!G10</f>
        <v>Sew the connector strap to the small Velcro pocket, add the loop Velcro.</v>
      </c>
      <c r="E11" s="56">
        <f>INDEX(Analysis!$S$5:$Y$35,MATCH('Prod Plan G'!$A11,Analysis!$S$5:$S$35,0),4)</f>
        <v>400</v>
      </c>
      <c r="G11" s="57">
        <f>INDEX(Analysis!$S$5:$Y$35,MATCH('Prod Plan G'!$A11,Analysis!$S$5:$S$35,0),7)</f>
        <v>7.8762306610407888</v>
      </c>
      <c r="H11" s="57"/>
      <c r="I11" s="58"/>
      <c r="J11" s="58"/>
      <c r="K11" s="59"/>
      <c r="L11" s="60">
        <f t="shared" si="0"/>
        <v>0</v>
      </c>
      <c r="M11" s="56">
        <f t="shared" si="1"/>
        <v>400</v>
      </c>
      <c r="O11" s="57">
        <f>M11/INDEX(Analysis!$S$5:$Y$35,MATCH('Prod Plan G'!$A11,Analysis!$S$5:$S$35,0),3)</f>
        <v>7.8762306610407888</v>
      </c>
      <c r="P11" s="57"/>
      <c r="Q11" s="58"/>
      <c r="R11" s="58"/>
      <c r="S11" s="59"/>
      <c r="T11" s="60">
        <f t="shared" si="2"/>
        <v>0</v>
      </c>
      <c r="U11" s="56">
        <f t="shared" si="3"/>
        <v>400</v>
      </c>
      <c r="W11" s="57">
        <f>U11/INDEX(Analysis!$S$5:$Y$35,MATCH('Prod Plan G'!$A11,Analysis!$S$5:$S$35,0),3)</f>
        <v>7.8762306610407888</v>
      </c>
      <c r="X11" s="57"/>
      <c r="Y11" s="58"/>
      <c r="Z11" s="58"/>
      <c r="AA11" s="59"/>
      <c r="AB11" s="60">
        <f t="shared" si="4"/>
        <v>0</v>
      </c>
    </row>
    <row r="12" spans="1:28">
      <c r="A12" s="54" t="str">
        <f>'Work Steps'!C11</f>
        <v>SB5</v>
      </c>
      <c r="B12" s="72">
        <f>'Work Steps'!D11</f>
        <v>10</v>
      </c>
      <c r="C12" s="38" t="str">
        <f>'Work Steps'!F11</f>
        <v xml:space="preserve">B5. Connector Strap </v>
      </c>
      <c r="D12" s="55" t="str">
        <f>'Work Steps'!G11</f>
        <v xml:space="preserve"> Close the sides of the small Velcro pocket.</v>
      </c>
      <c r="E12" s="56">
        <f>INDEX(Analysis!$S$5:$Y$35,MATCH('Prod Plan G'!$A12,Analysis!$S$5:$S$35,0),4)</f>
        <v>400</v>
      </c>
      <c r="G12" s="57">
        <f>INDEX(Analysis!$S$5:$Y$35,MATCH('Prod Plan G'!$A12,Analysis!$S$5:$S$35,0),7)</f>
        <v>8.5209560096986436</v>
      </c>
      <c r="H12" s="57"/>
      <c r="I12" s="58"/>
      <c r="J12" s="58"/>
      <c r="K12" s="59"/>
      <c r="L12" s="60">
        <f t="shared" si="0"/>
        <v>0</v>
      </c>
      <c r="M12" s="56">
        <f t="shared" si="1"/>
        <v>400</v>
      </c>
      <c r="O12" s="57">
        <f>M12/INDEX(Analysis!$S$5:$Y$35,MATCH('Prod Plan G'!$A12,Analysis!$S$5:$S$35,0),3)</f>
        <v>8.5209560096986436</v>
      </c>
      <c r="P12" s="57"/>
      <c r="Q12" s="58"/>
      <c r="R12" s="58"/>
      <c r="S12" s="59"/>
      <c r="T12" s="60">
        <f t="shared" si="2"/>
        <v>0</v>
      </c>
      <c r="U12" s="56">
        <f t="shared" si="3"/>
        <v>400</v>
      </c>
      <c r="W12" s="57">
        <f>U12/INDEX(Analysis!$S$5:$Y$35,MATCH('Prod Plan G'!$A12,Analysis!$S$5:$S$35,0),3)</f>
        <v>8.5209560096986436</v>
      </c>
      <c r="X12" s="57"/>
      <c r="Y12" s="58"/>
      <c r="Z12" s="58"/>
      <c r="AA12" s="59"/>
      <c r="AB12" s="60">
        <f t="shared" si="4"/>
        <v>0</v>
      </c>
    </row>
    <row r="13" spans="1:28" ht="13" thickBot="1">
      <c r="A13" s="61" t="str">
        <f>'Work Steps'!C12</f>
        <v>SB6</v>
      </c>
      <c r="B13" s="73">
        <f>'Work Steps'!D12</f>
        <v>11</v>
      </c>
      <c r="C13" s="62" t="str">
        <f>'Work Steps'!F12</f>
        <v xml:space="preserve">B6. Connector Strap </v>
      </c>
      <c r="D13" s="63" t="str">
        <f>'Work Steps'!G12</f>
        <v xml:space="preserve"> Cut threads, Turn right side out, Cut corners</v>
      </c>
      <c r="E13" s="64">
        <f>INDEX(Analysis!$S$5:$Y$35,MATCH('Prod Plan G'!$A13,Analysis!$S$5:$S$35,0),4)</f>
        <v>400</v>
      </c>
      <c r="F13" s="62"/>
      <c r="G13" s="65">
        <f>INDEX(Analysis!$S$5:$Y$35,MATCH('Prod Plan G'!$A13,Analysis!$S$5:$S$35,0),7)</f>
        <v>8.3076923076923084</v>
      </c>
      <c r="H13" s="65"/>
      <c r="I13" s="66"/>
      <c r="J13" s="66"/>
      <c r="K13" s="67"/>
      <c r="L13" s="68">
        <f t="shared" si="0"/>
        <v>0</v>
      </c>
      <c r="M13" s="64">
        <f t="shared" si="1"/>
        <v>400</v>
      </c>
      <c r="N13" s="62"/>
      <c r="O13" s="65">
        <f>M13/INDEX(Analysis!$S$5:$Y$35,MATCH('Prod Plan G'!$A13,Analysis!$S$5:$S$35,0),3)</f>
        <v>8.3076923076923084</v>
      </c>
      <c r="P13" s="65"/>
      <c r="Q13" s="66"/>
      <c r="R13" s="66"/>
      <c r="S13" s="67"/>
      <c r="T13" s="68">
        <f t="shared" si="2"/>
        <v>0</v>
      </c>
      <c r="U13" s="64">
        <f t="shared" si="3"/>
        <v>400</v>
      </c>
      <c r="V13" s="62"/>
      <c r="W13" s="65">
        <f>U13/INDEX(Analysis!$S$5:$Y$35,MATCH('Prod Plan G'!$A13,Analysis!$S$5:$S$35,0),3)</f>
        <v>8.3076923076923084</v>
      </c>
      <c r="X13" s="65"/>
      <c r="Y13" s="66"/>
      <c r="Z13" s="66"/>
      <c r="AA13" s="67"/>
      <c r="AB13" s="68">
        <f t="shared" si="4"/>
        <v>0</v>
      </c>
    </row>
    <row r="14" spans="1:28">
      <c r="A14" s="46" t="str">
        <f>'Work Steps'!C13</f>
        <v>SC1</v>
      </c>
      <c r="B14" s="71">
        <f>'Work Steps'!D13</f>
        <v>12</v>
      </c>
      <c r="C14" s="47" t="str">
        <f>'Work Steps'!F13</f>
        <v xml:space="preserve">C1. Hanging Big Pocket </v>
      </c>
      <c r="D14" s="48" t="str">
        <f>'Work Steps'!G13</f>
        <v xml:space="preserve">  Hem one short side</v>
      </c>
      <c r="E14" s="49">
        <f>INDEX(Analysis!$S$5:$Y$35,MATCH('Prod Plan G'!$A14,Analysis!$S$5:$S$35,0),4)</f>
        <v>400</v>
      </c>
      <c r="F14" s="47"/>
      <c r="G14" s="50">
        <f>INDEX(Analysis!$S$5:$Y$35,MATCH('Prod Plan G'!$A14,Analysis!$S$5:$S$35,0),7)</f>
        <v>3.4850088183421493</v>
      </c>
      <c r="H14" s="50"/>
      <c r="I14" s="51"/>
      <c r="J14" s="51"/>
      <c r="K14" s="52"/>
      <c r="L14" s="53">
        <f t="shared" si="0"/>
        <v>0</v>
      </c>
      <c r="M14" s="49">
        <f t="shared" si="1"/>
        <v>400</v>
      </c>
      <c r="N14" s="47"/>
      <c r="O14" s="50">
        <f>M14/INDEX(Analysis!$S$5:$Y$35,MATCH('Prod Plan G'!$A14,Analysis!$S$5:$S$35,0),3)</f>
        <v>3.4850088183421493</v>
      </c>
      <c r="P14" s="50"/>
      <c r="Q14" s="51"/>
      <c r="R14" s="51"/>
      <c r="S14" s="52"/>
      <c r="T14" s="53">
        <f t="shared" si="2"/>
        <v>0</v>
      </c>
      <c r="U14" s="49">
        <f t="shared" si="3"/>
        <v>400</v>
      </c>
      <c r="V14" s="47"/>
      <c r="W14" s="50">
        <f>U14/INDEX(Analysis!$S$5:$Y$35,MATCH('Prod Plan G'!$A14,Analysis!$S$5:$S$35,0),3)</f>
        <v>3.4850088183421493</v>
      </c>
      <c r="X14" s="50"/>
      <c r="Y14" s="51"/>
      <c r="Z14" s="51"/>
      <c r="AA14" s="52"/>
      <c r="AB14" s="53">
        <f t="shared" si="4"/>
        <v>0</v>
      </c>
    </row>
    <row r="15" spans="1:28">
      <c r="A15" s="54" t="str">
        <f>'Work Steps'!C14</f>
        <v>SC2</v>
      </c>
      <c r="B15" s="72">
        <f>'Work Steps'!D14</f>
        <v>13</v>
      </c>
      <c r="C15" s="38" t="str">
        <f>'Work Steps'!F14</f>
        <v xml:space="preserve">C2. Hanging Big Pocket </v>
      </c>
      <c r="D15" s="55" t="str">
        <f>'Work Steps'!G14</f>
        <v xml:space="preserve"> Fold to the marking, and close both sides</v>
      </c>
      <c r="E15" s="56">
        <f>INDEX(Analysis!$S$5:$Y$35,MATCH('Prod Plan G'!$A15,Analysis!$S$5:$S$35,0),4)</f>
        <v>400</v>
      </c>
      <c r="G15" s="57">
        <f>INDEX(Analysis!$S$5:$Y$35,MATCH('Prod Plan G'!$A15,Analysis!$S$5:$S$35,0),7)</f>
        <v>5.6648777579010128</v>
      </c>
      <c r="H15" s="57"/>
      <c r="I15" s="58"/>
      <c r="J15" s="58"/>
      <c r="K15" s="59"/>
      <c r="L15" s="60">
        <f t="shared" si="0"/>
        <v>0</v>
      </c>
      <c r="M15" s="56">
        <f t="shared" si="1"/>
        <v>400</v>
      </c>
      <c r="O15" s="57">
        <f>M15/INDEX(Analysis!$S$5:$Y$35,MATCH('Prod Plan G'!$A15,Analysis!$S$5:$S$35,0),3)</f>
        <v>5.6648777579010128</v>
      </c>
      <c r="P15" s="57"/>
      <c r="Q15" s="58"/>
      <c r="R15" s="58"/>
      <c r="S15" s="59"/>
      <c r="T15" s="60">
        <f t="shared" si="2"/>
        <v>0</v>
      </c>
      <c r="U15" s="56">
        <f t="shared" si="3"/>
        <v>400</v>
      </c>
      <c r="W15" s="57">
        <f>U15/INDEX(Analysis!$S$5:$Y$35,MATCH('Prod Plan G'!$A15,Analysis!$S$5:$S$35,0),3)</f>
        <v>5.6648777579010128</v>
      </c>
      <c r="X15" s="57"/>
      <c r="Y15" s="58"/>
      <c r="Z15" s="58"/>
      <c r="AA15" s="59"/>
      <c r="AB15" s="60">
        <f t="shared" si="4"/>
        <v>0</v>
      </c>
    </row>
    <row r="16" spans="1:28">
      <c r="A16" s="54" t="str">
        <f>'Work Steps'!C15</f>
        <v>SC3</v>
      </c>
      <c r="B16" s="72">
        <f>'Work Steps'!D15</f>
        <v>14</v>
      </c>
      <c r="C16" s="38" t="str">
        <f>'Work Steps'!F15</f>
        <v xml:space="preserve">C3. Hanging Big Pocket </v>
      </c>
      <c r="D16" s="55" t="str">
        <f>'Work Steps'!G15</f>
        <v xml:space="preserve"> Add stitching to the lower corners to create volume</v>
      </c>
      <c r="E16" s="56">
        <f>INDEX(Analysis!$S$5:$Y$35,MATCH('Prod Plan G'!$A16,Analysis!$S$5:$S$35,0),4)</f>
        <v>400</v>
      </c>
      <c r="G16" s="57">
        <f>INDEX(Analysis!$S$5:$Y$35,MATCH('Prod Plan G'!$A16,Analysis!$S$5:$S$35,0),7)</f>
        <v>4.4759493670886066</v>
      </c>
      <c r="H16" s="57"/>
      <c r="I16" s="58"/>
      <c r="J16" s="58"/>
      <c r="K16" s="59"/>
      <c r="L16" s="60">
        <f t="shared" si="0"/>
        <v>0</v>
      </c>
      <c r="M16" s="56">
        <f t="shared" si="1"/>
        <v>400</v>
      </c>
      <c r="O16" s="57">
        <f>M16/INDEX(Analysis!$S$5:$Y$35,MATCH('Prod Plan G'!$A16,Analysis!$S$5:$S$35,0),3)</f>
        <v>4.4759493670886066</v>
      </c>
      <c r="P16" s="57"/>
      <c r="Q16" s="58"/>
      <c r="R16" s="58"/>
      <c r="S16" s="59"/>
      <c r="T16" s="60">
        <f t="shared" si="2"/>
        <v>0</v>
      </c>
      <c r="U16" s="56">
        <f t="shared" si="3"/>
        <v>400</v>
      </c>
      <c r="W16" s="57">
        <f>U16/INDEX(Analysis!$S$5:$Y$35,MATCH('Prod Plan G'!$A16,Analysis!$S$5:$S$35,0),3)</f>
        <v>4.4759493670886066</v>
      </c>
      <c r="X16" s="57"/>
      <c r="Y16" s="58"/>
      <c r="Z16" s="58"/>
      <c r="AA16" s="59"/>
      <c r="AB16" s="60">
        <f t="shared" si="4"/>
        <v>0</v>
      </c>
    </row>
    <row r="17" spans="1:28">
      <c r="A17" s="54" t="str">
        <f>'Work Steps'!C16</f>
        <v>SC4</v>
      </c>
      <c r="B17" s="72">
        <f>'Work Steps'!D16</f>
        <v>15</v>
      </c>
      <c r="C17" s="38" t="str">
        <f>'Work Steps'!F16</f>
        <v xml:space="preserve">C4. Hanging Big Pocket </v>
      </c>
      <c r="D17" s="55" t="str">
        <f>'Work Steps'!G16</f>
        <v xml:space="preserve"> Turn right side out</v>
      </c>
      <c r="E17" s="56">
        <f>INDEX(Analysis!$S$5:$Y$35,MATCH('Prod Plan G'!$A17,Analysis!$S$5:$S$35,0),4)</f>
        <v>400</v>
      </c>
      <c r="G17" s="57">
        <f>INDEX(Analysis!$S$5:$Y$35,MATCH('Prod Plan G'!$A17,Analysis!$S$5:$S$35,0),7)</f>
        <v>5.9952038369304574</v>
      </c>
      <c r="H17" s="57"/>
      <c r="I17" s="58"/>
      <c r="J17" s="58"/>
      <c r="K17" s="59"/>
      <c r="L17" s="60">
        <f t="shared" si="0"/>
        <v>0</v>
      </c>
      <c r="M17" s="56">
        <f t="shared" si="1"/>
        <v>400</v>
      </c>
      <c r="O17" s="57">
        <f>M17/INDEX(Analysis!$S$5:$Y$35,MATCH('Prod Plan G'!$A17,Analysis!$S$5:$S$35,0),3)</f>
        <v>5.9952038369304574</v>
      </c>
      <c r="P17" s="57"/>
      <c r="Q17" s="58"/>
      <c r="R17" s="58"/>
      <c r="S17" s="59"/>
      <c r="T17" s="60">
        <f t="shared" si="2"/>
        <v>0</v>
      </c>
      <c r="U17" s="56">
        <f t="shared" si="3"/>
        <v>400</v>
      </c>
      <c r="W17" s="57">
        <f>U17/INDEX(Analysis!$S$5:$Y$35,MATCH('Prod Plan G'!$A17,Analysis!$S$5:$S$35,0),3)</f>
        <v>5.9952038369304574</v>
      </c>
      <c r="X17" s="57"/>
      <c r="Y17" s="58"/>
      <c r="Z17" s="58"/>
      <c r="AA17" s="59"/>
      <c r="AB17" s="60">
        <f t="shared" si="4"/>
        <v>0</v>
      </c>
    </row>
    <row r="18" spans="1:28">
      <c r="A18" s="54" t="str">
        <f>'Work Steps'!C17</f>
        <v>SC5</v>
      </c>
      <c r="B18" s="72">
        <f>'Work Steps'!D17</f>
        <v>16</v>
      </c>
      <c r="C18" s="38" t="str">
        <f>'Work Steps'!F17</f>
        <v xml:space="preserve">C5. Hanging Big Pocket </v>
      </c>
      <c r="D18" s="55" t="str">
        <f>'Work Steps'!G17</f>
        <v xml:space="preserve"> Add straight single-stitching to the top of the pocket</v>
      </c>
      <c r="E18" s="56">
        <f>INDEX(Analysis!$S$5:$Y$35,MATCH('Prod Plan G'!$A18,Analysis!$S$5:$S$35,0),4)</f>
        <v>400</v>
      </c>
      <c r="G18" s="57">
        <f>INDEX(Analysis!$S$5:$Y$35,MATCH('Prod Plan G'!$A18,Analysis!$S$5:$S$35,0),7)</f>
        <v>5.2743601723511429</v>
      </c>
      <c r="H18" s="57"/>
      <c r="I18" s="58"/>
      <c r="J18" s="58"/>
      <c r="K18" s="59"/>
      <c r="L18" s="60">
        <f t="shared" si="0"/>
        <v>0</v>
      </c>
      <c r="M18" s="56">
        <f t="shared" si="1"/>
        <v>400</v>
      </c>
      <c r="O18" s="57">
        <f>M18/INDEX(Analysis!$S$5:$Y$35,MATCH('Prod Plan G'!$A18,Analysis!$S$5:$S$35,0),3)</f>
        <v>5.2743601723511429</v>
      </c>
      <c r="P18" s="57"/>
      <c r="Q18" s="58"/>
      <c r="R18" s="58"/>
      <c r="S18" s="59"/>
      <c r="T18" s="60">
        <f t="shared" si="2"/>
        <v>0</v>
      </c>
      <c r="U18" s="56">
        <f t="shared" si="3"/>
        <v>400</v>
      </c>
      <c r="W18" s="57">
        <f>U18/INDEX(Analysis!$S$5:$Y$35,MATCH('Prod Plan G'!$A18,Analysis!$S$5:$S$35,0),3)</f>
        <v>5.2743601723511429</v>
      </c>
      <c r="X18" s="57"/>
      <c r="Y18" s="58"/>
      <c r="Z18" s="58"/>
      <c r="AA18" s="59"/>
      <c r="AB18" s="60">
        <f t="shared" si="4"/>
        <v>0</v>
      </c>
    </row>
    <row r="19" spans="1:28">
      <c r="A19" s="54" t="str">
        <f>'Work Steps'!C18</f>
        <v>SC6</v>
      </c>
      <c r="B19" s="72">
        <f>'Work Steps'!D18</f>
        <v>17</v>
      </c>
      <c r="C19" s="38" t="str">
        <f>'Work Steps'!F18</f>
        <v xml:space="preserve">C6. Hanging Big Pocket </v>
      </c>
      <c r="D19" s="55" t="str">
        <f>'Work Steps'!G18</f>
        <v xml:space="preserve"> Sew the center stitch</v>
      </c>
      <c r="E19" s="56">
        <f>INDEX(Analysis!$S$5:$Y$35,MATCH('Prod Plan G'!$A19,Analysis!$S$5:$S$35,0),4)</f>
        <v>400</v>
      </c>
      <c r="G19" s="57">
        <f>INDEX(Analysis!$S$5:$Y$35,MATCH('Prod Plan G'!$A19,Analysis!$S$5:$S$35,0),7)</f>
        <v>6.8292682926829258</v>
      </c>
      <c r="H19" s="57"/>
      <c r="I19" s="58"/>
      <c r="J19" s="58"/>
      <c r="K19" s="59"/>
      <c r="L19" s="60">
        <f t="shared" si="0"/>
        <v>0</v>
      </c>
      <c r="M19" s="56">
        <f t="shared" si="1"/>
        <v>400</v>
      </c>
      <c r="O19" s="57">
        <f>M19/INDEX(Analysis!$S$5:$Y$35,MATCH('Prod Plan G'!$A19,Analysis!$S$5:$S$35,0),3)</f>
        <v>6.8292682926829258</v>
      </c>
      <c r="P19" s="57"/>
      <c r="Q19" s="58"/>
      <c r="R19" s="58"/>
      <c r="S19" s="59"/>
      <c r="T19" s="60">
        <f t="shared" si="2"/>
        <v>0</v>
      </c>
      <c r="U19" s="56">
        <f t="shared" si="3"/>
        <v>400</v>
      </c>
      <c r="W19" s="57">
        <f>U19/INDEX(Analysis!$S$5:$Y$35,MATCH('Prod Plan G'!$A19,Analysis!$S$5:$S$35,0),3)</f>
        <v>6.8292682926829258</v>
      </c>
      <c r="X19" s="57"/>
      <c r="Y19" s="58"/>
      <c r="Z19" s="58"/>
      <c r="AA19" s="59"/>
      <c r="AB19" s="60">
        <f t="shared" si="4"/>
        <v>0</v>
      </c>
    </row>
    <row r="20" spans="1:28">
      <c r="A20" s="54" t="str">
        <f>'Work Steps'!C19</f>
        <v>SC7</v>
      </c>
      <c r="B20" s="72">
        <f>'Work Steps'!D19</f>
        <v>18</v>
      </c>
      <c r="C20" s="38" t="str">
        <f>'Work Steps'!F19</f>
        <v xml:space="preserve">C7. Bartack </v>
      </c>
      <c r="D20" s="55" t="str">
        <f>'Work Steps'!G19</f>
        <v xml:space="preserve"> Add the bartack to the top of the hanging big pocket</v>
      </c>
      <c r="E20" s="56">
        <f>INDEX(Analysis!$S$5:$Y$35,MATCH('Prod Plan G'!$A20,Analysis!$S$5:$S$35,0),4)</f>
        <v>400</v>
      </c>
      <c r="G20" s="57">
        <f>INDEX(Analysis!$S$5:$Y$35,MATCH('Prod Plan G'!$A20,Analysis!$S$5:$S$35,0),7)</f>
        <v>3.9106145251396631</v>
      </c>
      <c r="H20" s="57"/>
      <c r="I20" s="58"/>
      <c r="J20" s="58"/>
      <c r="K20" s="59"/>
      <c r="L20" s="60">
        <f t="shared" si="0"/>
        <v>0</v>
      </c>
      <c r="M20" s="56">
        <f t="shared" si="1"/>
        <v>400</v>
      </c>
      <c r="O20" s="57">
        <f>M20/INDEX(Analysis!$S$5:$Y$35,MATCH('Prod Plan G'!$A20,Analysis!$S$5:$S$35,0),3)</f>
        <v>3.9106145251396631</v>
      </c>
      <c r="P20" s="57"/>
      <c r="Q20" s="58"/>
      <c r="R20" s="58"/>
      <c r="S20" s="59"/>
      <c r="T20" s="60">
        <f t="shared" si="2"/>
        <v>0</v>
      </c>
      <c r="U20" s="56">
        <f t="shared" si="3"/>
        <v>400</v>
      </c>
      <c r="W20" s="57">
        <f>U20/INDEX(Analysis!$S$5:$Y$35,MATCH('Prod Plan G'!$A20,Analysis!$S$5:$S$35,0),3)</f>
        <v>3.9106145251396631</v>
      </c>
      <c r="X20" s="57"/>
      <c r="Y20" s="58"/>
      <c r="Z20" s="58"/>
      <c r="AA20" s="59"/>
      <c r="AB20" s="60">
        <f t="shared" si="4"/>
        <v>0</v>
      </c>
    </row>
    <row r="21" spans="1:28" ht="13" thickBot="1">
      <c r="A21" s="61" t="str">
        <f>'Work Steps'!C20</f>
        <v>SC8</v>
      </c>
      <c r="B21" s="73">
        <f>'Work Steps'!D20</f>
        <v>19</v>
      </c>
      <c r="C21" s="62" t="str">
        <f>'Work Steps'!F20</f>
        <v xml:space="preserve">C8. Hanging Big Pocket </v>
      </c>
      <c r="D21" s="63" t="str">
        <f>'Work Steps'!G20</f>
        <v xml:space="preserve"> Stitch the connector strap to the large pocket</v>
      </c>
      <c r="E21" s="64">
        <f>INDEX(Analysis!$S$5:$Y$35,MATCH('Prod Plan G'!$A21,Analysis!$S$5:$S$35,0),4)</f>
        <v>400</v>
      </c>
      <c r="F21" s="62"/>
      <c r="G21" s="65">
        <f>INDEX(Analysis!$S$5:$Y$35,MATCH('Prod Plan G'!$A21,Analysis!$S$5:$S$35,0),7)</f>
        <v>4.9311439425119321</v>
      </c>
      <c r="H21" s="65"/>
      <c r="I21" s="66"/>
      <c r="J21" s="66"/>
      <c r="K21" s="67"/>
      <c r="L21" s="68">
        <f t="shared" si="0"/>
        <v>0</v>
      </c>
      <c r="M21" s="64">
        <f t="shared" si="1"/>
        <v>400</v>
      </c>
      <c r="N21" s="62"/>
      <c r="O21" s="65">
        <f>M21/INDEX(Analysis!$S$5:$Y$35,MATCH('Prod Plan G'!$A21,Analysis!$S$5:$S$35,0),3)</f>
        <v>4.9311439425119321</v>
      </c>
      <c r="P21" s="65"/>
      <c r="Q21" s="66"/>
      <c r="R21" s="66"/>
      <c r="S21" s="67"/>
      <c r="T21" s="68">
        <f t="shared" si="2"/>
        <v>0</v>
      </c>
      <c r="U21" s="64">
        <f t="shared" si="3"/>
        <v>400</v>
      </c>
      <c r="V21" s="62"/>
      <c r="W21" s="65">
        <f>U21/INDEX(Analysis!$S$5:$Y$35,MATCH('Prod Plan G'!$A21,Analysis!$S$5:$S$35,0),3)</f>
        <v>4.9311439425119321</v>
      </c>
      <c r="X21" s="65"/>
      <c r="Y21" s="66"/>
      <c r="Z21" s="66"/>
      <c r="AA21" s="67"/>
      <c r="AB21" s="68">
        <f t="shared" si="4"/>
        <v>0</v>
      </c>
    </row>
    <row r="22" spans="1:28">
      <c r="A22" s="46" t="str">
        <f>'Work Steps'!C21</f>
        <v>SD1</v>
      </c>
      <c r="B22" s="71">
        <f>'Work Steps'!D21</f>
        <v>20</v>
      </c>
      <c r="C22" s="47" t="str">
        <f>'Work Steps'!F21</f>
        <v xml:space="preserve">D1. Cushion Cover </v>
      </c>
      <c r="D22" s="48" t="str">
        <f>'Work Steps'!G21</f>
        <v>Sew the zipper onto the left panel with USA flag.</v>
      </c>
      <c r="E22" s="49">
        <f>INDEX(Analysis!$S$5:$Y$35,MATCH('Prod Plan G'!$A22,Analysis!$S$5:$S$35,0),4)</f>
        <v>300</v>
      </c>
      <c r="F22" s="47"/>
      <c r="G22" s="50">
        <f>INDEX(Analysis!$S$5:$Y$35,MATCH('Prod Plan G'!$A22,Analysis!$S$5:$S$35,0),7)</f>
        <v>7.780748663101603</v>
      </c>
      <c r="H22" s="50"/>
      <c r="I22" s="51"/>
      <c r="J22" s="51"/>
      <c r="K22" s="52"/>
      <c r="L22" s="53">
        <f t="shared" si="0"/>
        <v>100</v>
      </c>
      <c r="M22" s="49">
        <f t="shared" si="1"/>
        <v>300</v>
      </c>
      <c r="N22" s="47"/>
      <c r="O22" s="50">
        <f>M22/INDEX(Analysis!$S$5:$Y$35,MATCH('Prod Plan G'!$A22,Analysis!$S$5:$S$35,0),3)</f>
        <v>7.780748663101603</v>
      </c>
      <c r="P22" s="50"/>
      <c r="Q22" s="51"/>
      <c r="R22" s="51"/>
      <c r="S22" s="52"/>
      <c r="T22" s="53">
        <f t="shared" si="2"/>
        <v>100</v>
      </c>
      <c r="U22" s="49">
        <f t="shared" si="3"/>
        <v>300</v>
      </c>
      <c r="V22" s="47"/>
      <c r="W22" s="50">
        <f>U22/INDEX(Analysis!$S$5:$Y$35,MATCH('Prod Plan G'!$A22,Analysis!$S$5:$S$35,0),3)</f>
        <v>7.780748663101603</v>
      </c>
      <c r="X22" s="50"/>
      <c r="Y22" s="51"/>
      <c r="Z22" s="51"/>
      <c r="AA22" s="52"/>
      <c r="AB22" s="53">
        <f t="shared" si="4"/>
        <v>100</v>
      </c>
    </row>
    <row r="23" spans="1:28">
      <c r="A23" s="54" t="str">
        <f>'Work Steps'!C22</f>
        <v>SD2</v>
      </c>
      <c r="B23" s="72">
        <f>'Work Steps'!D22</f>
        <v>21</v>
      </c>
      <c r="C23" s="38" t="str">
        <f>'Work Steps'!F22</f>
        <v xml:space="preserve">D2. Cushion Cover </v>
      </c>
      <c r="D23" s="55" t="str">
        <f>'Work Steps'!G22</f>
        <v xml:space="preserve"> Sew the zipper with hemming foot onto the right panel without the flag</v>
      </c>
      <c r="E23" s="56">
        <f>INDEX(Analysis!$S$5:$Y$35,MATCH('Prod Plan G'!$A23,Analysis!$S$5:$S$35,0),4)</f>
        <v>0</v>
      </c>
      <c r="G23" s="57">
        <f>INDEX(Analysis!$S$5:$Y$35,MATCH('Prod Plan G'!$A23,Analysis!$S$5:$S$35,0),7)</f>
        <v>0</v>
      </c>
      <c r="H23" s="57"/>
      <c r="I23" s="58"/>
      <c r="J23" s="58"/>
      <c r="K23" s="59"/>
      <c r="L23" s="60">
        <f t="shared" si="0"/>
        <v>0</v>
      </c>
      <c r="M23" s="56">
        <f t="shared" si="1"/>
        <v>0</v>
      </c>
      <c r="O23" s="57">
        <f>M23/INDEX(Analysis!$S$5:$Y$35,MATCH('Prod Plan G'!$A23,Analysis!$S$5:$S$35,0),3)</f>
        <v>0</v>
      </c>
      <c r="P23" s="57"/>
      <c r="Q23" s="58"/>
      <c r="R23" s="58"/>
      <c r="S23" s="59"/>
      <c r="T23" s="60">
        <f t="shared" si="2"/>
        <v>0</v>
      </c>
      <c r="U23" s="56">
        <f t="shared" si="3"/>
        <v>0</v>
      </c>
      <c r="W23" s="57">
        <f>U23/INDEX(Analysis!$S$5:$Y$35,MATCH('Prod Plan G'!$A23,Analysis!$S$5:$S$35,0),3)</f>
        <v>0</v>
      </c>
      <c r="X23" s="57"/>
      <c r="Y23" s="58"/>
      <c r="Z23" s="58"/>
      <c r="AA23" s="59"/>
      <c r="AB23" s="60">
        <f t="shared" si="4"/>
        <v>0</v>
      </c>
    </row>
    <row r="24" spans="1:28">
      <c r="A24" s="54" t="str">
        <f>'Work Steps'!C23</f>
        <v>SD3</v>
      </c>
      <c r="B24" s="72">
        <f>'Work Steps'!D23</f>
        <v>22</v>
      </c>
      <c r="C24" s="38" t="str">
        <f>'Work Steps'!F23</f>
        <v xml:space="preserve">D3. Cushion Cover </v>
      </c>
      <c r="D24" s="55" t="str">
        <f>'Work Steps'!G23</f>
        <v xml:space="preserve"> Cut extra material off add the zipper pull</v>
      </c>
      <c r="E24" s="56">
        <f>INDEX(Analysis!$S$5:$Y$35,MATCH('Prod Plan G'!$A24,Analysis!$S$5:$S$35,0),4)</f>
        <v>400</v>
      </c>
      <c r="G24" s="57">
        <f>INDEX(Analysis!$S$5:$Y$35,MATCH('Prod Plan G'!$A24,Analysis!$S$5:$S$35,0),7)</f>
        <v>15.646258503401363</v>
      </c>
      <c r="H24" s="57"/>
      <c r="I24" s="58"/>
      <c r="J24" s="58"/>
      <c r="K24" s="59"/>
      <c r="L24" s="60">
        <f t="shared" si="0"/>
        <v>0</v>
      </c>
      <c r="M24" s="56">
        <f t="shared" si="1"/>
        <v>400</v>
      </c>
      <c r="O24" s="57">
        <f>M24/INDEX(Analysis!$S$5:$Y$35,MATCH('Prod Plan G'!$A24,Analysis!$S$5:$S$35,0),3)</f>
        <v>15.646258503401363</v>
      </c>
      <c r="P24" s="57"/>
      <c r="Q24" s="58"/>
      <c r="R24" s="58"/>
      <c r="S24" s="59"/>
      <c r="T24" s="60">
        <f t="shared" si="2"/>
        <v>0</v>
      </c>
      <c r="U24" s="56">
        <f t="shared" si="3"/>
        <v>400</v>
      </c>
      <c r="W24" s="57">
        <f>U24/INDEX(Analysis!$S$5:$Y$35,MATCH('Prod Plan G'!$A24,Analysis!$S$5:$S$35,0),3)</f>
        <v>15.646258503401363</v>
      </c>
      <c r="X24" s="57"/>
      <c r="Y24" s="58"/>
      <c r="Z24" s="58"/>
      <c r="AA24" s="59"/>
      <c r="AB24" s="60">
        <f t="shared" si="4"/>
        <v>0</v>
      </c>
    </row>
    <row r="25" spans="1:28">
      <c r="A25" s="54" t="str">
        <f>'Work Steps'!C24</f>
        <v>SD4</v>
      </c>
      <c r="B25" s="72">
        <f>'Work Steps'!D24</f>
        <v>23</v>
      </c>
      <c r="C25" s="38" t="str">
        <f>'Work Steps'!F24</f>
        <v xml:space="preserve">D4. Cushion Cover </v>
      </c>
      <c r="D25" s="55" t="str">
        <f>'Work Steps'!G24</f>
        <v xml:space="preserve"> Add stitch to both zipper ends</v>
      </c>
      <c r="E25" s="56">
        <f>INDEX(Analysis!$S$5:$Y$35,MATCH('Prod Plan G'!$A25,Analysis!$S$5:$S$35,0),4)</f>
        <v>400</v>
      </c>
      <c r="G25" s="57">
        <f>INDEX(Analysis!$S$5:$Y$35,MATCH('Prod Plan G'!$A25,Analysis!$S$5:$S$35,0),7)</f>
        <v>6.026365348399243</v>
      </c>
      <c r="H25" s="57"/>
      <c r="I25" s="58"/>
      <c r="J25" s="58"/>
      <c r="K25" s="59"/>
      <c r="L25" s="60">
        <f t="shared" si="0"/>
        <v>0</v>
      </c>
      <c r="M25" s="56">
        <f t="shared" si="1"/>
        <v>400</v>
      </c>
      <c r="O25" s="57">
        <f>M25/INDEX(Analysis!$S$5:$Y$35,MATCH('Prod Plan G'!$A25,Analysis!$S$5:$S$35,0),3)</f>
        <v>6.026365348399243</v>
      </c>
      <c r="P25" s="57"/>
      <c r="Q25" s="58"/>
      <c r="R25" s="58"/>
      <c r="S25" s="59"/>
      <c r="T25" s="60">
        <f t="shared" si="2"/>
        <v>0</v>
      </c>
      <c r="U25" s="56">
        <f t="shared" si="3"/>
        <v>400</v>
      </c>
      <c r="W25" s="57">
        <f>U25/INDEX(Analysis!$S$5:$Y$35,MATCH('Prod Plan G'!$A25,Analysis!$S$5:$S$35,0),3)</f>
        <v>6.026365348399243</v>
      </c>
      <c r="X25" s="57"/>
      <c r="Y25" s="58"/>
      <c r="Z25" s="58"/>
      <c r="AA25" s="59"/>
      <c r="AB25" s="60">
        <f t="shared" si="4"/>
        <v>0</v>
      </c>
    </row>
    <row r="26" spans="1:28">
      <c r="A26" s="54" t="str">
        <f>'Work Steps'!C25</f>
        <v>SD5</v>
      </c>
      <c r="B26" s="72">
        <f>'Work Steps'!D25</f>
        <v>24</v>
      </c>
      <c r="C26" s="38" t="str">
        <f>'Work Steps'!F25</f>
        <v xml:space="preserve">D5. Cushion Cover </v>
      </c>
      <c r="D26" s="55" t="str">
        <f>'Work Steps'!G25</f>
        <v xml:space="preserve">  Sew the long sides closed</v>
      </c>
      <c r="E26" s="56">
        <f>INDEX(Analysis!$S$5:$Y$35,MATCH('Prod Plan G'!$A26,Analysis!$S$5:$S$35,0),4)</f>
        <v>400</v>
      </c>
      <c r="G26" s="57">
        <f>INDEX(Analysis!$S$5:$Y$35,MATCH('Prod Plan G'!$A26,Analysis!$S$5:$S$35,0),7)</f>
        <v>3.3333333333333335</v>
      </c>
      <c r="H26" s="57"/>
      <c r="I26" s="58"/>
      <c r="J26" s="58"/>
      <c r="K26" s="59"/>
      <c r="L26" s="60">
        <f t="shared" si="0"/>
        <v>0</v>
      </c>
      <c r="M26" s="56">
        <f t="shared" si="1"/>
        <v>400</v>
      </c>
      <c r="O26" s="57">
        <f>M26/INDEX(Analysis!$S$5:$Y$35,MATCH('Prod Plan G'!$A26,Analysis!$S$5:$S$35,0),3)</f>
        <v>3.3333333333333335</v>
      </c>
      <c r="P26" s="57"/>
      <c r="Q26" s="58"/>
      <c r="R26" s="58"/>
      <c r="S26" s="59"/>
      <c r="T26" s="60">
        <f t="shared" si="2"/>
        <v>0</v>
      </c>
      <c r="U26" s="56">
        <f t="shared" si="3"/>
        <v>400</v>
      </c>
      <c r="W26" s="57">
        <f>U26/INDEX(Analysis!$S$5:$Y$35,MATCH('Prod Plan G'!$A26,Analysis!$S$5:$S$35,0),3)</f>
        <v>3.3333333333333335</v>
      </c>
      <c r="X26" s="57"/>
      <c r="Y26" s="58"/>
      <c r="Z26" s="58"/>
      <c r="AA26" s="59"/>
      <c r="AB26" s="60">
        <f t="shared" si="4"/>
        <v>0</v>
      </c>
    </row>
    <row r="27" spans="1:28">
      <c r="A27" s="54" t="str">
        <f>'Work Steps'!C26</f>
        <v>SD6</v>
      </c>
      <c r="B27" s="72">
        <f>'Work Steps'!D26</f>
        <v>25</v>
      </c>
      <c r="C27" s="38" t="str">
        <f>'Work Steps'!F26</f>
        <v xml:space="preserve">D6.Cushion Cover </v>
      </c>
      <c r="D27" s="55" t="str">
        <f>'Work Steps'!G26</f>
        <v xml:space="preserve"> Sew front panel with pockets to zipper panel</v>
      </c>
      <c r="E27" s="56">
        <f>INDEX(Analysis!$S$5:$Y$35,MATCH('Prod Plan G'!$A27,Analysis!$S$5:$S$35,0),4)</f>
        <v>400</v>
      </c>
      <c r="G27" s="57">
        <f>INDEX(Analysis!$S$5:$Y$35,MATCH('Prod Plan G'!$A27,Analysis!$S$5:$S$35,0),7)</f>
        <v>3.3333333333333335</v>
      </c>
      <c r="H27" s="57"/>
      <c r="I27" s="58"/>
      <c r="J27" s="58"/>
      <c r="K27" s="59"/>
      <c r="L27" s="60">
        <f t="shared" si="0"/>
        <v>0</v>
      </c>
      <c r="M27" s="56">
        <f t="shared" si="1"/>
        <v>400</v>
      </c>
      <c r="O27" s="57">
        <f>M27/INDEX(Analysis!$S$5:$Y$35,MATCH('Prod Plan G'!$A27,Analysis!$S$5:$S$35,0),3)</f>
        <v>3.3333333333333335</v>
      </c>
      <c r="P27" s="57"/>
      <c r="Q27" s="58"/>
      <c r="R27" s="58"/>
      <c r="S27" s="59"/>
      <c r="T27" s="60">
        <f t="shared" si="2"/>
        <v>0</v>
      </c>
      <c r="U27" s="56">
        <f t="shared" si="3"/>
        <v>400</v>
      </c>
      <c r="W27" s="57">
        <f>U27/INDEX(Analysis!$S$5:$Y$35,MATCH('Prod Plan G'!$A27,Analysis!$S$5:$S$35,0),3)</f>
        <v>3.3333333333333335</v>
      </c>
      <c r="X27" s="57"/>
      <c r="Y27" s="58"/>
      <c r="Z27" s="58"/>
      <c r="AA27" s="59"/>
      <c r="AB27" s="60">
        <f t="shared" si="4"/>
        <v>0</v>
      </c>
    </row>
    <row r="28" spans="1:28">
      <c r="A28" s="54" t="str">
        <f>'Work Steps'!C27</f>
        <v>SD7</v>
      </c>
      <c r="B28" s="72">
        <f>'Work Steps'!D27</f>
        <v>26</v>
      </c>
      <c r="C28" s="38" t="str">
        <f>'Work Steps'!F27</f>
        <v xml:space="preserve">D7. Cushion Cover </v>
      </c>
      <c r="D28" s="55" t="str">
        <f>'Work Steps'!G27</f>
        <v xml:space="preserve"> Sew on the side panels</v>
      </c>
      <c r="E28" s="56">
        <f>INDEX(Analysis!$S$5:$Y$35,MATCH('Prod Plan G'!$A28,Analysis!$S$5:$S$35,0),4)</f>
        <v>400</v>
      </c>
      <c r="G28" s="57">
        <f>INDEX(Analysis!$S$5:$Y$35,MATCH('Prod Plan G'!$A28,Analysis!$S$5:$S$35,0),7)</f>
        <v>3.3333333333333335</v>
      </c>
      <c r="H28" s="57"/>
      <c r="I28" s="58"/>
      <c r="J28" s="58"/>
      <c r="K28" s="59"/>
      <c r="L28" s="60">
        <f t="shared" si="0"/>
        <v>0</v>
      </c>
      <c r="M28" s="56">
        <f t="shared" si="1"/>
        <v>400</v>
      </c>
      <c r="O28" s="57">
        <f>M28/INDEX(Analysis!$S$5:$Y$35,MATCH('Prod Plan G'!$A28,Analysis!$S$5:$S$35,0),3)</f>
        <v>3.3333333333333335</v>
      </c>
      <c r="P28" s="57"/>
      <c r="Q28" s="58"/>
      <c r="R28" s="58"/>
      <c r="S28" s="59"/>
      <c r="T28" s="60">
        <f t="shared" si="2"/>
        <v>0</v>
      </c>
      <c r="U28" s="56">
        <f t="shared" si="3"/>
        <v>400</v>
      </c>
      <c r="W28" s="57">
        <f>U28/INDEX(Analysis!$S$5:$Y$35,MATCH('Prod Plan G'!$A28,Analysis!$S$5:$S$35,0),3)</f>
        <v>3.3333333333333335</v>
      </c>
      <c r="X28" s="57"/>
      <c r="Y28" s="58"/>
      <c r="Z28" s="58"/>
      <c r="AA28" s="59"/>
      <c r="AB28" s="60">
        <f t="shared" si="4"/>
        <v>0</v>
      </c>
    </row>
    <row r="29" spans="1:28" ht="13" thickBot="1">
      <c r="A29" s="61" t="str">
        <f>'Work Steps'!C28</f>
        <v>SD8</v>
      </c>
      <c r="B29" s="73">
        <f>'Work Steps'!D28</f>
        <v>27</v>
      </c>
      <c r="C29" s="62" t="str">
        <f>'Work Steps'!F28</f>
        <v xml:space="preserve">D8. Cushion Cover </v>
      </c>
      <c r="D29" s="63" t="str">
        <f>'Work Steps'!G28</f>
        <v xml:space="preserve"> Turn right side out</v>
      </c>
      <c r="E29" s="64">
        <f>INDEX(Analysis!$S$5:$Y$35,MATCH('Prod Plan G'!$A29,Analysis!$S$5:$S$35,0),4)</f>
        <v>400</v>
      </c>
      <c r="F29" s="62"/>
      <c r="G29" s="65">
        <f>INDEX(Analysis!$S$5:$Y$35,MATCH('Prod Plan G'!$A29,Analysis!$S$5:$S$35,0),7)</f>
        <v>3.3333333333333335</v>
      </c>
      <c r="H29" s="65"/>
      <c r="I29" s="66"/>
      <c r="J29" s="66"/>
      <c r="K29" s="67"/>
      <c r="L29" s="68">
        <f t="shared" si="0"/>
        <v>0</v>
      </c>
      <c r="M29" s="64">
        <f t="shared" si="1"/>
        <v>400</v>
      </c>
      <c r="N29" s="62"/>
      <c r="O29" s="65">
        <f>M29/INDEX(Analysis!$S$5:$Y$35,MATCH('Prod Plan G'!$A29,Analysis!$S$5:$S$35,0),3)</f>
        <v>3.3333333333333335</v>
      </c>
      <c r="P29" s="65"/>
      <c r="Q29" s="66"/>
      <c r="R29" s="66"/>
      <c r="S29" s="67"/>
      <c r="T29" s="68">
        <f t="shared" si="2"/>
        <v>0</v>
      </c>
      <c r="U29" s="64">
        <f t="shared" si="3"/>
        <v>400</v>
      </c>
      <c r="V29" s="62"/>
      <c r="W29" s="65">
        <f>U29/INDEX(Analysis!$S$5:$Y$35,MATCH('Prod Plan G'!$A29,Analysis!$S$5:$S$35,0),3)</f>
        <v>3.3333333333333335</v>
      </c>
      <c r="X29" s="65"/>
      <c r="Y29" s="66"/>
      <c r="Z29" s="66"/>
      <c r="AA29" s="67"/>
      <c r="AB29" s="68">
        <f t="shared" si="4"/>
        <v>0</v>
      </c>
    </row>
    <row r="30" spans="1:28">
      <c r="A30" s="46" t="str">
        <f>'Work Steps'!C29</f>
        <v>IFA</v>
      </c>
      <c r="B30" s="71">
        <f>'Work Steps'!D29</f>
        <v>28</v>
      </c>
      <c r="C30" s="47" t="str">
        <f>'Work Steps'!F29</f>
        <v xml:space="preserve">A. Inspection Quality </v>
      </c>
      <c r="D30" s="48" t="str">
        <f>'Work Steps'!G29</f>
        <v xml:space="preserve"> Clean and inspect for any loose threads, missing, flag, ect.</v>
      </c>
      <c r="E30" s="49">
        <f>INDEX(Analysis!$S$5:$Y$35,MATCH('Prod Plan G'!$A30,Analysis!$S$5:$S$35,0),4)</f>
        <v>400</v>
      </c>
      <c r="F30" s="47"/>
      <c r="G30" s="50">
        <f>INDEX(Analysis!$S$5:$Y$35,MATCH('Prod Plan G'!$A30,Analysis!$S$5:$S$35,0),7)</f>
        <v>3.3333333333333335</v>
      </c>
      <c r="H30" s="50"/>
      <c r="I30" s="51"/>
      <c r="J30" s="51"/>
      <c r="K30" s="52"/>
      <c r="L30" s="53">
        <f t="shared" si="0"/>
        <v>0</v>
      </c>
      <c r="M30" s="49">
        <f t="shared" si="1"/>
        <v>400</v>
      </c>
      <c r="N30" s="47"/>
      <c r="O30" s="50">
        <f>M30/INDEX(Analysis!$S$5:$Y$35,MATCH('Prod Plan G'!$A30,Analysis!$S$5:$S$35,0),3)</f>
        <v>3.3333333333333335</v>
      </c>
      <c r="P30" s="50"/>
      <c r="Q30" s="51"/>
      <c r="R30" s="51"/>
      <c r="S30" s="52"/>
      <c r="T30" s="53">
        <f t="shared" si="2"/>
        <v>0</v>
      </c>
      <c r="U30" s="49">
        <f t="shared" si="3"/>
        <v>400</v>
      </c>
      <c r="V30" s="47"/>
      <c r="W30" s="50">
        <f>U30/INDEX(Analysis!$S$5:$Y$35,MATCH('Prod Plan G'!$A30,Analysis!$S$5:$S$35,0),3)</f>
        <v>3.3333333333333335</v>
      </c>
      <c r="X30" s="50"/>
      <c r="Y30" s="51"/>
      <c r="Z30" s="51"/>
      <c r="AA30" s="52"/>
      <c r="AB30" s="53">
        <f t="shared" si="4"/>
        <v>0</v>
      </c>
    </row>
    <row r="31" spans="1:28">
      <c r="A31" s="54" t="str">
        <f>'Work Steps'!C30</f>
        <v>IFB</v>
      </c>
      <c r="B31" s="72">
        <f>'Work Steps'!D30</f>
        <v>29</v>
      </c>
      <c r="C31" s="38" t="str">
        <f>'Work Steps'!F30</f>
        <v xml:space="preserve">B. Inspection Insert Foam </v>
      </c>
      <c r="D31" s="55" t="str">
        <f>'Work Steps'!G30</f>
        <v xml:space="preserve"> Insert foam piece into the headrest.</v>
      </c>
      <c r="E31" s="56">
        <f>INDEX(Analysis!$S$5:$Y$35,MATCH('Prod Plan G'!$A31,Analysis!$S$5:$S$35,0),4)</f>
        <v>400</v>
      </c>
      <c r="G31" s="57">
        <f>INDEX(Analysis!$S$5:$Y$35,MATCH('Prod Plan G'!$A31,Analysis!$S$5:$S$35,0),7)</f>
        <v>5.5555555555555554</v>
      </c>
      <c r="H31" s="57"/>
      <c r="I31" s="58"/>
      <c r="J31" s="58"/>
      <c r="K31" s="59"/>
      <c r="L31" s="60">
        <f t="shared" si="0"/>
        <v>0</v>
      </c>
      <c r="M31" s="56">
        <f t="shared" si="1"/>
        <v>400</v>
      </c>
      <c r="O31" s="57">
        <f>M31/INDEX(Analysis!$S$5:$Y$35,MATCH('Prod Plan G'!$A31,Analysis!$S$5:$S$35,0),3)</f>
        <v>5.5555555555555554</v>
      </c>
      <c r="P31" s="57"/>
      <c r="Q31" s="58"/>
      <c r="R31" s="58"/>
      <c r="S31" s="59"/>
      <c r="T31" s="60">
        <f t="shared" si="2"/>
        <v>0</v>
      </c>
      <c r="U31" s="56">
        <f t="shared" si="3"/>
        <v>400</v>
      </c>
      <c r="W31" s="57">
        <f>U31/INDEX(Analysis!$S$5:$Y$35,MATCH('Prod Plan G'!$A31,Analysis!$S$5:$S$35,0),3)</f>
        <v>5.5555555555555554</v>
      </c>
      <c r="X31" s="57"/>
      <c r="Y31" s="58"/>
      <c r="Z31" s="58"/>
      <c r="AA31" s="59"/>
      <c r="AB31" s="60">
        <f t="shared" si="4"/>
        <v>0</v>
      </c>
    </row>
    <row r="32" spans="1:28">
      <c r="A32" s="54" t="str">
        <f>'Work Steps'!C31</f>
        <v>IFC</v>
      </c>
      <c r="B32" s="72">
        <f>'Work Steps'!D31</f>
        <v>30</v>
      </c>
      <c r="C32" s="38" t="str">
        <f>'Work Steps'!F31</f>
        <v xml:space="preserve">C. Inspection Bag </v>
      </c>
      <c r="D32" s="55" t="str">
        <f>'Work Steps'!G31</f>
        <v xml:space="preserve"> Individually bagged into poly bag S-1997 Size: 9 x 24</v>
      </c>
      <c r="E32" s="56">
        <f>INDEX(Analysis!$S$5:$Y$35,MATCH('Prod Plan G'!$A32,Analysis!$S$5:$S$35,0),4)</f>
        <v>400</v>
      </c>
      <c r="G32" s="57">
        <f>INDEX(Analysis!$S$5:$Y$35,MATCH('Prod Plan G'!$A32,Analysis!$S$5:$S$35,0),7)</f>
        <v>3.3333333333333335</v>
      </c>
      <c r="H32" s="57"/>
      <c r="I32" s="58"/>
      <c r="J32" s="58"/>
      <c r="K32" s="59"/>
      <c r="L32" s="60">
        <f t="shared" si="0"/>
        <v>0</v>
      </c>
      <c r="M32" s="56">
        <f t="shared" si="1"/>
        <v>400</v>
      </c>
      <c r="O32" s="57">
        <f>M32/INDEX(Analysis!$S$5:$Y$35,MATCH('Prod Plan G'!$A32,Analysis!$S$5:$S$35,0),3)</f>
        <v>3.3333333333333335</v>
      </c>
      <c r="P32" s="57"/>
      <c r="Q32" s="58"/>
      <c r="R32" s="58"/>
      <c r="S32" s="59"/>
      <c r="T32" s="60">
        <f t="shared" si="2"/>
        <v>0</v>
      </c>
      <c r="U32" s="56">
        <f t="shared" si="3"/>
        <v>400</v>
      </c>
      <c r="W32" s="57">
        <f>U32/INDEX(Analysis!$S$5:$Y$35,MATCH('Prod Plan G'!$A32,Analysis!$S$5:$S$35,0),3)</f>
        <v>3.3333333333333335</v>
      </c>
      <c r="X32" s="57"/>
      <c r="Y32" s="58"/>
      <c r="Z32" s="58"/>
      <c r="AA32" s="59"/>
      <c r="AB32" s="60">
        <f t="shared" si="4"/>
        <v>0</v>
      </c>
    </row>
    <row r="33" spans="1:28" ht="13" thickBot="1">
      <c r="A33" s="61" t="str">
        <f>'Work Steps'!C32</f>
        <v>IFD</v>
      </c>
      <c r="B33" s="73">
        <f>'Work Steps'!D32</f>
        <v>31</v>
      </c>
      <c r="C33" s="62" t="str">
        <f>'Work Steps'!F32</f>
        <v xml:space="preserve">D. Inspection Pack </v>
      </c>
      <c r="D33" s="63" t="str">
        <f>'Work Steps'!G32</f>
        <v xml:space="preserve"> Pack into cartons </v>
      </c>
      <c r="E33" s="64">
        <f>INDEX(Analysis!$S$5:$Y$35,MATCH('Prod Plan G'!$A33,Analysis!$S$5:$S$35,0),4)</f>
        <v>400</v>
      </c>
      <c r="F33" s="62"/>
      <c r="G33" s="65">
        <f>INDEX(Analysis!$S$5:$Y$35,MATCH('Prod Plan G'!$A33,Analysis!$S$5:$S$35,0),7)</f>
        <v>6.666666666666667</v>
      </c>
      <c r="H33" s="65"/>
      <c r="I33" s="66"/>
      <c r="J33" s="66"/>
      <c r="K33" s="67"/>
      <c r="L33" s="68">
        <f t="shared" si="0"/>
        <v>0</v>
      </c>
      <c r="M33" s="64">
        <f t="shared" si="1"/>
        <v>400</v>
      </c>
      <c r="N33" s="62"/>
      <c r="O33" s="65">
        <f>M33/INDEX(Analysis!$S$5:$Y$35,MATCH('Prod Plan G'!$A33,Analysis!$S$5:$S$35,0),3)</f>
        <v>6.666666666666667</v>
      </c>
      <c r="P33" s="65"/>
      <c r="Q33" s="66"/>
      <c r="R33" s="66"/>
      <c r="S33" s="67"/>
      <c r="T33" s="68">
        <f t="shared" si="2"/>
        <v>0</v>
      </c>
      <c r="U33" s="64">
        <f t="shared" si="3"/>
        <v>400</v>
      </c>
      <c r="V33" s="62"/>
      <c r="W33" s="65">
        <f>U33/INDEX(Analysis!$S$5:$Y$35,MATCH('Prod Plan G'!$A33,Analysis!$S$5:$S$35,0),3)</f>
        <v>6.666666666666667</v>
      </c>
      <c r="X33" s="65"/>
      <c r="Y33" s="66"/>
      <c r="Z33" s="66"/>
      <c r="AA33" s="67"/>
      <c r="AB33" s="68">
        <f t="shared" si="4"/>
        <v>0</v>
      </c>
    </row>
  </sheetData>
  <mergeCells count="3">
    <mergeCell ref="E1:L1"/>
    <mergeCell ref="M1:T1"/>
    <mergeCell ref="U1:AB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9868-5122-8749-8065-30E8AF261E86}">
  <dimension ref="A2:Y72"/>
  <sheetViews>
    <sheetView topLeftCell="A3" workbookViewId="0">
      <selection activeCell="P11" sqref="P11"/>
    </sheetView>
  </sheetViews>
  <sheetFormatPr baseColWidth="10" defaultRowHeight="13"/>
  <cols>
    <col min="1" max="1" width="13.1640625" bestFit="1" customWidth="1"/>
    <col min="2" max="2" width="20.83203125" bestFit="1" customWidth="1"/>
    <col min="3" max="3" width="8.33203125" bestFit="1" customWidth="1"/>
    <col min="4" max="4" width="5.83203125" bestFit="1" customWidth="1"/>
    <col min="5" max="5" width="8.33203125" bestFit="1" customWidth="1"/>
    <col min="6" max="7" width="6.6640625" bestFit="1" customWidth="1"/>
    <col min="8" max="8" width="8.1640625" bestFit="1" customWidth="1"/>
    <col min="9" max="9" width="4.33203125" bestFit="1" customWidth="1"/>
    <col min="10" max="11" width="7.83203125" bestFit="1" customWidth="1"/>
    <col min="12" max="12" width="5.33203125" bestFit="1" customWidth="1"/>
    <col min="13" max="13" width="5" bestFit="1" customWidth="1"/>
    <col min="14" max="15" width="10.6640625" bestFit="1" customWidth="1"/>
    <col min="20" max="20" width="13.83203125" bestFit="1" customWidth="1"/>
    <col min="21" max="21" width="16.83203125" bestFit="1" customWidth="1"/>
  </cols>
  <sheetData>
    <row r="2" spans="1:25">
      <c r="S2" s="5" t="s">
        <v>345</v>
      </c>
      <c r="T2" s="34"/>
      <c r="X2" s="37">
        <f>SUM(X5:X35)</f>
        <v>101.998691660757</v>
      </c>
      <c r="Y2" s="37">
        <f>SUM(Y5:Y35)</f>
        <v>140.50447594800292</v>
      </c>
    </row>
    <row r="3" spans="1:25">
      <c r="A3" s="32" t="s">
        <v>342</v>
      </c>
      <c r="B3" s="32" t="s">
        <v>339</v>
      </c>
    </row>
    <row r="4" spans="1:25">
      <c r="A4" s="32" t="s">
        <v>341</v>
      </c>
      <c r="B4" t="s">
        <v>337</v>
      </c>
      <c r="C4" t="s">
        <v>231</v>
      </c>
      <c r="D4" t="s">
        <v>305</v>
      </c>
      <c r="E4" t="s">
        <v>311</v>
      </c>
      <c r="F4" t="s">
        <v>232</v>
      </c>
      <c r="G4" t="s">
        <v>234</v>
      </c>
      <c r="H4" t="s">
        <v>321</v>
      </c>
      <c r="I4" t="s">
        <v>310</v>
      </c>
      <c r="J4" t="s">
        <v>229</v>
      </c>
      <c r="K4" t="s">
        <v>227</v>
      </c>
      <c r="L4" t="s">
        <v>226</v>
      </c>
      <c r="M4" t="s">
        <v>225</v>
      </c>
      <c r="N4" t="s">
        <v>340</v>
      </c>
      <c r="S4" s="5" t="s">
        <v>116</v>
      </c>
      <c r="T4" s="5" t="s">
        <v>354</v>
      </c>
      <c r="U4" s="5" t="s">
        <v>353</v>
      </c>
      <c r="V4" s="5" t="s">
        <v>352</v>
      </c>
      <c r="W4" s="5" t="s">
        <v>355</v>
      </c>
      <c r="X4" s="5" t="s">
        <v>356</v>
      </c>
      <c r="Y4" s="5" t="s">
        <v>357</v>
      </c>
    </row>
    <row r="5" spans="1:25">
      <c r="A5" s="33" t="s">
        <v>179</v>
      </c>
      <c r="B5" s="35">
        <v>40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>
        <v>40</v>
      </c>
      <c r="S5" t="str">
        <f>A5</f>
        <v>CFA1</v>
      </c>
      <c r="T5" s="34">
        <f>N5</f>
        <v>40</v>
      </c>
      <c r="U5" s="34">
        <f>IF(ISERROR(AVERAGE(C5:M5)),N5,AVERAGE(C5:M5))</f>
        <v>40</v>
      </c>
      <c r="V5" s="34">
        <f>F41</f>
        <v>0</v>
      </c>
      <c r="W5" t="str">
        <f>D41</f>
        <v>CFA1</v>
      </c>
      <c r="X5" s="36">
        <f>V5/T5</f>
        <v>0</v>
      </c>
      <c r="Y5" s="36">
        <f>V5/U5</f>
        <v>0</v>
      </c>
    </row>
    <row r="6" spans="1:25">
      <c r="A6" s="33" t="s">
        <v>180</v>
      </c>
      <c r="B6" s="35">
        <v>1800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>
        <v>1800</v>
      </c>
      <c r="S6" t="str">
        <f t="shared" ref="S6:S35" si="0">A6</f>
        <v>CTA1</v>
      </c>
      <c r="T6" s="34">
        <f t="shared" ref="T6:T35" si="1">N6</f>
        <v>1800</v>
      </c>
      <c r="U6" s="34">
        <f t="shared" ref="U6:U35" si="2">IF(ISERROR(AVERAGE(C6:M6)),N6,AVERAGE(C6:M6))</f>
        <v>1800</v>
      </c>
      <c r="V6" s="34">
        <f t="shared" ref="V6:V35" si="3">F42</f>
        <v>0</v>
      </c>
      <c r="W6" t="str">
        <f t="shared" ref="W6:W35" si="4">D42</f>
        <v>CTA1</v>
      </c>
      <c r="X6" s="36">
        <f t="shared" ref="X6:X35" si="5">V6/T6</f>
        <v>0</v>
      </c>
      <c r="Y6" s="36">
        <f t="shared" ref="Y6:Y35" si="6">V6/U6</f>
        <v>0</v>
      </c>
    </row>
    <row r="7" spans="1:25">
      <c r="A7" s="33" t="s">
        <v>208</v>
      </c>
      <c r="B7" s="35">
        <v>120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>
        <v>120</v>
      </c>
      <c r="S7" t="str">
        <f t="shared" si="0"/>
        <v>IFA</v>
      </c>
      <c r="T7" s="34">
        <f t="shared" si="1"/>
        <v>120</v>
      </c>
      <c r="U7" s="34">
        <f t="shared" si="2"/>
        <v>120</v>
      </c>
      <c r="V7" s="34">
        <f t="shared" si="3"/>
        <v>400</v>
      </c>
      <c r="W7" t="str">
        <f t="shared" si="4"/>
        <v>IFA</v>
      </c>
      <c r="X7" s="36">
        <f t="shared" si="5"/>
        <v>3.3333333333333335</v>
      </c>
      <c r="Y7" s="36">
        <f t="shared" si="6"/>
        <v>3.3333333333333335</v>
      </c>
    </row>
    <row r="8" spans="1:25">
      <c r="A8" s="33" t="s">
        <v>209</v>
      </c>
      <c r="B8" s="35">
        <v>72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>
        <v>72</v>
      </c>
      <c r="S8" t="str">
        <f t="shared" si="0"/>
        <v>IFB</v>
      </c>
      <c r="T8" s="34">
        <f t="shared" si="1"/>
        <v>72</v>
      </c>
      <c r="U8" s="34">
        <f t="shared" si="2"/>
        <v>72</v>
      </c>
      <c r="V8" s="34">
        <f t="shared" si="3"/>
        <v>400</v>
      </c>
      <c r="W8" t="str">
        <f t="shared" si="4"/>
        <v>IFB</v>
      </c>
      <c r="X8" s="36">
        <f t="shared" si="5"/>
        <v>5.5555555555555554</v>
      </c>
      <c r="Y8" s="36">
        <f t="shared" si="6"/>
        <v>5.5555555555555554</v>
      </c>
    </row>
    <row r="9" spans="1:25">
      <c r="A9" s="33" t="s">
        <v>210</v>
      </c>
      <c r="B9" s="35">
        <v>120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>
        <v>120</v>
      </c>
      <c r="S9" t="str">
        <f t="shared" si="0"/>
        <v>IFC</v>
      </c>
      <c r="T9" s="34">
        <f t="shared" si="1"/>
        <v>120</v>
      </c>
      <c r="U9" s="34">
        <f t="shared" si="2"/>
        <v>120</v>
      </c>
      <c r="V9" s="34">
        <f t="shared" si="3"/>
        <v>400</v>
      </c>
      <c r="W9" t="str">
        <f t="shared" si="4"/>
        <v>IFC</v>
      </c>
      <c r="X9" s="36">
        <f t="shared" si="5"/>
        <v>3.3333333333333335</v>
      </c>
      <c r="Y9" s="36">
        <f t="shared" si="6"/>
        <v>3.3333333333333335</v>
      </c>
    </row>
    <row r="10" spans="1:25">
      <c r="A10" s="33" t="s">
        <v>211</v>
      </c>
      <c r="B10" s="35">
        <v>60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>
        <v>60</v>
      </c>
      <c r="S10" t="str">
        <f t="shared" si="0"/>
        <v>IFD</v>
      </c>
      <c r="T10" s="34">
        <f t="shared" si="1"/>
        <v>60</v>
      </c>
      <c r="U10" s="34">
        <f t="shared" si="2"/>
        <v>60</v>
      </c>
      <c r="V10" s="34">
        <f t="shared" si="3"/>
        <v>400</v>
      </c>
      <c r="W10" t="str">
        <f t="shared" si="4"/>
        <v>IFD</v>
      </c>
      <c r="X10" s="36">
        <f t="shared" si="5"/>
        <v>6.666666666666667</v>
      </c>
      <c r="Y10" s="36">
        <f t="shared" si="6"/>
        <v>6.666666666666667</v>
      </c>
    </row>
    <row r="11" spans="1:25">
      <c r="A11" s="33" t="s">
        <v>181</v>
      </c>
      <c r="B11" s="35">
        <v>514.28571428571433</v>
      </c>
      <c r="C11" s="35"/>
      <c r="D11" s="35">
        <v>304.34782608695645</v>
      </c>
      <c r="E11" s="35"/>
      <c r="F11" s="35"/>
      <c r="G11" s="35"/>
      <c r="H11" s="35"/>
      <c r="I11" s="35"/>
      <c r="J11" s="35"/>
      <c r="K11" s="35"/>
      <c r="L11" s="35"/>
      <c r="M11" s="35"/>
      <c r="N11" s="35">
        <v>374.32712215320907</v>
      </c>
      <c r="S11" t="str">
        <f t="shared" si="0"/>
        <v>PSA1</v>
      </c>
      <c r="T11" s="34">
        <f t="shared" si="1"/>
        <v>374.32712215320907</v>
      </c>
      <c r="U11" s="34">
        <f t="shared" si="2"/>
        <v>304.34782608695645</v>
      </c>
      <c r="V11" s="34">
        <f t="shared" si="3"/>
        <v>0</v>
      </c>
      <c r="W11" t="str">
        <f t="shared" si="4"/>
        <v>PSA1</v>
      </c>
      <c r="X11" s="36">
        <f t="shared" si="5"/>
        <v>0</v>
      </c>
      <c r="Y11" s="36">
        <f t="shared" si="6"/>
        <v>0</v>
      </c>
    </row>
    <row r="12" spans="1:25">
      <c r="A12" s="33" t="s">
        <v>182</v>
      </c>
      <c r="B12" s="35">
        <v>180</v>
      </c>
      <c r="C12" s="35">
        <v>94.117647058823536</v>
      </c>
      <c r="D12" s="35"/>
      <c r="E12" s="35"/>
      <c r="F12" s="35"/>
      <c r="G12" s="35"/>
      <c r="H12" s="35"/>
      <c r="I12" s="35"/>
      <c r="J12" s="35">
        <v>47.999999999999986</v>
      </c>
      <c r="K12" s="35"/>
      <c r="L12" s="35"/>
      <c r="M12" s="35"/>
      <c r="N12" s="35">
        <v>107.37254901960785</v>
      </c>
      <c r="S12" t="str">
        <f t="shared" si="0"/>
        <v>SA1</v>
      </c>
      <c r="T12" s="34">
        <f t="shared" si="1"/>
        <v>107.37254901960785</v>
      </c>
      <c r="U12" s="34">
        <f t="shared" si="2"/>
        <v>71.058823529411768</v>
      </c>
      <c r="V12" s="34">
        <f t="shared" si="3"/>
        <v>200</v>
      </c>
      <c r="W12" t="str">
        <f t="shared" si="4"/>
        <v>SA1</v>
      </c>
      <c r="X12" s="36">
        <f t="shared" si="5"/>
        <v>1.8626734842951058</v>
      </c>
      <c r="Y12" s="36">
        <f t="shared" si="6"/>
        <v>2.814569536423841</v>
      </c>
    </row>
    <row r="13" spans="1:25">
      <c r="A13" s="33" t="s">
        <v>184</v>
      </c>
      <c r="B13" s="35">
        <v>144</v>
      </c>
      <c r="C13" s="35"/>
      <c r="D13" s="35"/>
      <c r="E13" s="35"/>
      <c r="F13" s="35">
        <v>60.000000000000007</v>
      </c>
      <c r="G13" s="35">
        <v>16.499999999999993</v>
      </c>
      <c r="H13" s="35"/>
      <c r="I13" s="35"/>
      <c r="J13" s="35"/>
      <c r="K13" s="35"/>
      <c r="L13" s="35"/>
      <c r="M13" s="35"/>
      <c r="N13" s="35">
        <v>73.5</v>
      </c>
      <c r="S13" t="str">
        <f t="shared" si="0"/>
        <v>SA2</v>
      </c>
      <c r="T13" s="34">
        <f t="shared" si="1"/>
        <v>73.5</v>
      </c>
      <c r="U13" s="34">
        <f t="shared" si="2"/>
        <v>38.25</v>
      </c>
      <c r="V13" s="34">
        <f t="shared" si="3"/>
        <v>400</v>
      </c>
      <c r="W13" t="str">
        <f t="shared" si="4"/>
        <v>SA2</v>
      </c>
      <c r="X13" s="36">
        <f t="shared" si="5"/>
        <v>5.4421768707482991</v>
      </c>
      <c r="Y13" s="36">
        <f t="shared" si="6"/>
        <v>10.457516339869281</v>
      </c>
    </row>
    <row r="14" spans="1:25">
      <c r="A14" s="33" t="s">
        <v>185</v>
      </c>
      <c r="B14" s="35">
        <v>300</v>
      </c>
      <c r="C14" s="35"/>
      <c r="D14" s="35"/>
      <c r="E14" s="35"/>
      <c r="F14" s="35"/>
      <c r="G14" s="35"/>
      <c r="H14" s="35">
        <v>150</v>
      </c>
      <c r="I14" s="35"/>
      <c r="J14" s="35">
        <v>71.999999999999872</v>
      </c>
      <c r="K14" s="35">
        <v>167.99999999999997</v>
      </c>
      <c r="L14" s="35"/>
      <c r="M14" s="35"/>
      <c r="N14" s="35">
        <v>172.49999999999997</v>
      </c>
      <c r="S14" t="str">
        <f t="shared" si="0"/>
        <v>SB1</v>
      </c>
      <c r="T14" s="34">
        <f t="shared" si="1"/>
        <v>172.49999999999997</v>
      </c>
      <c r="U14" s="34">
        <f t="shared" si="2"/>
        <v>129.99999999999997</v>
      </c>
      <c r="V14" s="34">
        <f t="shared" si="3"/>
        <v>0</v>
      </c>
      <c r="W14" t="str">
        <f t="shared" si="4"/>
        <v>SB1</v>
      </c>
      <c r="X14" s="36">
        <f t="shared" si="5"/>
        <v>0</v>
      </c>
      <c r="Y14" s="36">
        <f t="shared" si="6"/>
        <v>0</v>
      </c>
    </row>
    <row r="15" spans="1:25">
      <c r="A15" s="33" t="s">
        <v>186</v>
      </c>
      <c r="B15" s="35">
        <v>60</v>
      </c>
      <c r="C15" s="35"/>
      <c r="D15" s="35"/>
      <c r="E15" s="35">
        <v>48.679487179487182</v>
      </c>
      <c r="F15" s="35"/>
      <c r="G15" s="35"/>
      <c r="H15" s="35"/>
      <c r="I15" s="35">
        <v>48.679487179487182</v>
      </c>
      <c r="J15" s="35"/>
      <c r="K15" s="35"/>
      <c r="L15" s="35">
        <v>46.230769230769241</v>
      </c>
      <c r="M15" s="35"/>
      <c r="N15" s="35">
        <v>49.597069597069599</v>
      </c>
      <c r="S15" t="str">
        <f t="shared" si="0"/>
        <v>SB2</v>
      </c>
      <c r="T15" s="34">
        <f t="shared" si="1"/>
        <v>49.597069597069599</v>
      </c>
      <c r="U15" s="34">
        <f t="shared" si="2"/>
        <v>47.863247863247864</v>
      </c>
      <c r="V15" s="34">
        <f t="shared" si="3"/>
        <v>0</v>
      </c>
      <c r="W15" t="str">
        <f t="shared" si="4"/>
        <v>SB2</v>
      </c>
      <c r="X15" s="36">
        <f t="shared" si="5"/>
        <v>0</v>
      </c>
      <c r="Y15" s="36">
        <f t="shared" si="6"/>
        <v>0</v>
      </c>
    </row>
    <row r="16" spans="1:25">
      <c r="A16" s="33" t="s">
        <v>187</v>
      </c>
      <c r="B16" s="35">
        <v>144</v>
      </c>
      <c r="C16" s="35"/>
      <c r="D16" s="35">
        <v>36.461538461538446</v>
      </c>
      <c r="E16" s="35"/>
      <c r="F16" s="35"/>
      <c r="G16" s="35"/>
      <c r="H16" s="35">
        <v>64.53333333333336</v>
      </c>
      <c r="I16" s="35"/>
      <c r="J16" s="35"/>
      <c r="K16" s="35">
        <v>88.153846153846146</v>
      </c>
      <c r="L16" s="35"/>
      <c r="M16" s="35"/>
      <c r="N16" s="35">
        <v>83.287179487179486</v>
      </c>
      <c r="S16" t="str">
        <f t="shared" si="0"/>
        <v>SB3</v>
      </c>
      <c r="T16" s="34">
        <f t="shared" si="1"/>
        <v>83.287179487179486</v>
      </c>
      <c r="U16" s="34">
        <f t="shared" si="2"/>
        <v>63.049572649572646</v>
      </c>
      <c r="V16" s="34">
        <f t="shared" si="3"/>
        <v>18</v>
      </c>
      <c r="W16" t="str">
        <f t="shared" si="4"/>
        <v>SB3</v>
      </c>
      <c r="X16" s="36">
        <f t="shared" si="5"/>
        <v>0.21611969706298872</v>
      </c>
      <c r="Y16" s="36">
        <f t="shared" si="6"/>
        <v>0.28548964320572606</v>
      </c>
    </row>
    <row r="17" spans="1:25">
      <c r="A17" s="33" t="s">
        <v>188</v>
      </c>
      <c r="B17" s="35">
        <v>102.85714285714286</v>
      </c>
      <c r="C17" s="35"/>
      <c r="D17" s="35"/>
      <c r="E17" s="35"/>
      <c r="F17" s="35">
        <v>48.952380952380949</v>
      </c>
      <c r="G17" s="35">
        <v>49.714285714285722</v>
      </c>
      <c r="H17" s="35">
        <v>53.690476190476176</v>
      </c>
      <c r="I17" s="35"/>
      <c r="J17" s="35"/>
      <c r="K17" s="35"/>
      <c r="L17" s="35"/>
      <c r="M17" s="35"/>
      <c r="N17" s="35">
        <v>59.642857142857146</v>
      </c>
      <c r="S17" t="str">
        <f t="shared" si="0"/>
        <v>SB4</v>
      </c>
      <c r="T17" s="34">
        <f t="shared" si="1"/>
        <v>59.642857142857146</v>
      </c>
      <c r="U17" s="34">
        <f t="shared" si="2"/>
        <v>50.785714285714278</v>
      </c>
      <c r="V17" s="34">
        <f t="shared" si="3"/>
        <v>400</v>
      </c>
      <c r="W17" t="str">
        <f t="shared" si="4"/>
        <v>SB4</v>
      </c>
      <c r="X17" s="36">
        <f t="shared" si="5"/>
        <v>6.706586826347305</v>
      </c>
      <c r="Y17" s="36">
        <f t="shared" si="6"/>
        <v>7.8762306610407888</v>
      </c>
    </row>
    <row r="18" spans="1:25">
      <c r="A18" s="33" t="s">
        <v>189</v>
      </c>
      <c r="B18" s="35">
        <v>240</v>
      </c>
      <c r="C18" s="35"/>
      <c r="D18" s="35"/>
      <c r="E18" s="35"/>
      <c r="F18" s="35">
        <v>46.829268292682926</v>
      </c>
      <c r="G18" s="35">
        <v>30.000000000000107</v>
      </c>
      <c r="H18" s="35">
        <v>64</v>
      </c>
      <c r="I18" s="35"/>
      <c r="J18" s="35"/>
      <c r="K18" s="35"/>
      <c r="L18" s="35"/>
      <c r="M18" s="35"/>
      <c r="N18" s="35">
        <v>95.207317073170756</v>
      </c>
      <c r="S18" t="str">
        <f t="shared" si="0"/>
        <v>SB5</v>
      </c>
      <c r="T18" s="34">
        <f t="shared" si="1"/>
        <v>95.207317073170756</v>
      </c>
      <c r="U18" s="34">
        <f t="shared" si="2"/>
        <v>46.943089430894339</v>
      </c>
      <c r="V18" s="34">
        <f t="shared" si="3"/>
        <v>400</v>
      </c>
      <c r="W18" t="str">
        <f t="shared" si="4"/>
        <v>SB5</v>
      </c>
      <c r="X18" s="36">
        <f t="shared" si="5"/>
        <v>4.2013577558601245</v>
      </c>
      <c r="Y18" s="36">
        <f t="shared" si="6"/>
        <v>8.5209560096986436</v>
      </c>
    </row>
    <row r="19" spans="1:25">
      <c r="A19" s="33" t="s">
        <v>190</v>
      </c>
      <c r="B19" s="35">
        <v>144</v>
      </c>
      <c r="C19" s="35"/>
      <c r="D19" s="35"/>
      <c r="E19" s="35"/>
      <c r="F19" s="35">
        <v>44.444444444444422</v>
      </c>
      <c r="G19" s="35"/>
      <c r="H19" s="35"/>
      <c r="I19" s="35"/>
      <c r="J19" s="35"/>
      <c r="K19" s="35"/>
      <c r="L19" s="35">
        <v>50</v>
      </c>
      <c r="M19" s="35">
        <v>50</v>
      </c>
      <c r="N19" s="35">
        <v>72.111111111111114</v>
      </c>
      <c r="S19" t="str">
        <f t="shared" si="0"/>
        <v>SB6</v>
      </c>
      <c r="T19" s="34">
        <f t="shared" si="1"/>
        <v>72.111111111111114</v>
      </c>
      <c r="U19" s="34">
        <f t="shared" si="2"/>
        <v>48.148148148148145</v>
      </c>
      <c r="V19" s="34">
        <f t="shared" si="3"/>
        <v>400</v>
      </c>
      <c r="W19" t="str">
        <f t="shared" si="4"/>
        <v>SB6</v>
      </c>
      <c r="X19" s="36">
        <f t="shared" si="5"/>
        <v>5.5469953775038521</v>
      </c>
      <c r="Y19" s="36">
        <f t="shared" si="6"/>
        <v>8.3076923076923084</v>
      </c>
    </row>
    <row r="20" spans="1:25">
      <c r="A20" s="33" t="s">
        <v>191</v>
      </c>
      <c r="B20" s="35">
        <v>211.76470588235293</v>
      </c>
      <c r="C20" s="35">
        <v>156.9230769230771</v>
      </c>
      <c r="D20" s="35"/>
      <c r="E20" s="35"/>
      <c r="F20" s="35"/>
      <c r="G20" s="35"/>
      <c r="H20" s="35"/>
      <c r="I20" s="35"/>
      <c r="J20" s="35">
        <v>72.631578947368411</v>
      </c>
      <c r="K20" s="35"/>
      <c r="L20" s="35"/>
      <c r="M20" s="35"/>
      <c r="N20" s="35">
        <v>147.10645391759951</v>
      </c>
      <c r="S20" t="str">
        <f t="shared" si="0"/>
        <v>SC1</v>
      </c>
      <c r="T20" s="34">
        <f t="shared" si="1"/>
        <v>147.10645391759951</v>
      </c>
      <c r="U20" s="34">
        <f t="shared" si="2"/>
        <v>114.77732793522276</v>
      </c>
      <c r="V20" s="34">
        <f t="shared" si="3"/>
        <v>400</v>
      </c>
      <c r="W20" t="str">
        <f t="shared" si="4"/>
        <v>SC1</v>
      </c>
      <c r="X20" s="36">
        <f t="shared" si="5"/>
        <v>2.7191193135826439</v>
      </c>
      <c r="Y20" s="36">
        <f t="shared" si="6"/>
        <v>3.4850088183421493</v>
      </c>
    </row>
    <row r="21" spans="1:25">
      <c r="A21" s="33" t="s">
        <v>192</v>
      </c>
      <c r="B21" s="35">
        <v>102.85714285714286</v>
      </c>
      <c r="C21" s="35">
        <v>70.421052631578959</v>
      </c>
      <c r="D21" s="35"/>
      <c r="E21" s="35"/>
      <c r="F21" s="35"/>
      <c r="G21" s="35"/>
      <c r="H21" s="35"/>
      <c r="I21" s="35"/>
      <c r="J21" s="35">
        <v>70.800000000000026</v>
      </c>
      <c r="K21" s="35"/>
      <c r="L21" s="35"/>
      <c r="M21" s="35"/>
      <c r="N21" s="35">
        <v>81.359398496240615</v>
      </c>
      <c r="S21" t="str">
        <f t="shared" si="0"/>
        <v>SC2</v>
      </c>
      <c r="T21" s="34">
        <f t="shared" si="1"/>
        <v>81.359398496240615</v>
      </c>
      <c r="U21" s="34">
        <f t="shared" si="2"/>
        <v>70.610526315789485</v>
      </c>
      <c r="V21" s="34">
        <f t="shared" si="3"/>
        <v>400</v>
      </c>
      <c r="W21" t="str">
        <f t="shared" si="4"/>
        <v>SC2</v>
      </c>
      <c r="X21" s="36">
        <f t="shared" si="5"/>
        <v>4.916457193553156</v>
      </c>
      <c r="Y21" s="36">
        <f t="shared" si="6"/>
        <v>5.6648777579010128</v>
      </c>
    </row>
    <row r="22" spans="1:25">
      <c r="A22" s="33" t="s">
        <v>193</v>
      </c>
      <c r="B22" s="35">
        <v>100</v>
      </c>
      <c r="C22" s="35">
        <v>78.70588235294116</v>
      </c>
      <c r="D22" s="35"/>
      <c r="E22" s="35"/>
      <c r="F22" s="35">
        <v>126.92307692307699</v>
      </c>
      <c r="G22" s="35"/>
      <c r="H22" s="35"/>
      <c r="I22" s="35"/>
      <c r="J22" s="35">
        <v>62.470588235294102</v>
      </c>
      <c r="K22" s="35"/>
      <c r="L22" s="35"/>
      <c r="M22" s="35"/>
      <c r="N22" s="35">
        <v>92.024886877828052</v>
      </c>
      <c r="S22" t="str">
        <f t="shared" si="0"/>
        <v>SC3</v>
      </c>
      <c r="T22" s="34">
        <f t="shared" si="1"/>
        <v>92.024886877828052</v>
      </c>
      <c r="U22" s="34">
        <f t="shared" si="2"/>
        <v>89.366515837104089</v>
      </c>
      <c r="V22" s="34">
        <f t="shared" si="3"/>
        <v>400</v>
      </c>
      <c r="W22" t="str">
        <f t="shared" si="4"/>
        <v>SC3</v>
      </c>
      <c r="X22" s="36">
        <f t="shared" si="5"/>
        <v>4.3466502765826673</v>
      </c>
      <c r="Y22" s="36">
        <f t="shared" si="6"/>
        <v>4.4759493670886066</v>
      </c>
    </row>
    <row r="23" spans="1:25">
      <c r="A23" s="33" t="s">
        <v>194</v>
      </c>
      <c r="B23" s="35">
        <v>144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>
        <v>66.719999999999985</v>
      </c>
      <c r="N23" s="35">
        <v>105.35999999999999</v>
      </c>
      <c r="S23" t="str">
        <f t="shared" si="0"/>
        <v>SC4</v>
      </c>
      <c r="T23" s="34">
        <f t="shared" si="1"/>
        <v>105.35999999999999</v>
      </c>
      <c r="U23" s="34">
        <f t="shared" si="2"/>
        <v>66.719999999999985</v>
      </c>
      <c r="V23" s="34">
        <f t="shared" si="3"/>
        <v>400</v>
      </c>
      <c r="W23" t="str">
        <f t="shared" si="4"/>
        <v>SC4</v>
      </c>
      <c r="X23" s="36">
        <f t="shared" si="5"/>
        <v>3.7965072133637059</v>
      </c>
      <c r="Y23" s="36">
        <f t="shared" si="6"/>
        <v>5.9952038369304574</v>
      </c>
    </row>
    <row r="24" spans="1:25">
      <c r="A24" s="33" t="s">
        <v>195</v>
      </c>
      <c r="B24" s="35">
        <v>240</v>
      </c>
      <c r="C24" s="35">
        <v>82.677165354330697</v>
      </c>
      <c r="D24" s="35"/>
      <c r="E24" s="35"/>
      <c r="F24" s="35"/>
      <c r="G24" s="35"/>
      <c r="H24" s="35"/>
      <c r="I24" s="35"/>
      <c r="J24" s="35">
        <v>68.999999999999915</v>
      </c>
      <c r="K24" s="35"/>
      <c r="L24" s="35"/>
      <c r="M24" s="35"/>
      <c r="N24" s="35">
        <v>130.55905511811019</v>
      </c>
      <c r="S24" t="str">
        <f t="shared" si="0"/>
        <v>SC5</v>
      </c>
      <c r="T24" s="34">
        <f t="shared" si="1"/>
        <v>130.55905511811019</v>
      </c>
      <c r="U24" s="34">
        <f t="shared" si="2"/>
        <v>75.838582677165306</v>
      </c>
      <c r="V24" s="34">
        <f t="shared" si="3"/>
        <v>400</v>
      </c>
      <c r="W24" t="str">
        <f t="shared" si="4"/>
        <v>SC5</v>
      </c>
      <c r="X24" s="36">
        <f t="shared" si="5"/>
        <v>3.0637476629877582</v>
      </c>
      <c r="Y24" s="36">
        <f t="shared" si="6"/>
        <v>5.2743601723511429</v>
      </c>
    </row>
    <row r="25" spans="1:25">
      <c r="A25" s="33" t="s">
        <v>197</v>
      </c>
      <c r="B25" s="35">
        <v>180</v>
      </c>
      <c r="C25" s="35">
        <v>60.000000000000007</v>
      </c>
      <c r="D25" s="35"/>
      <c r="E25" s="35"/>
      <c r="F25" s="35"/>
      <c r="G25" s="35"/>
      <c r="H25" s="35"/>
      <c r="I25" s="35"/>
      <c r="J25" s="35">
        <v>57.14285714285716</v>
      </c>
      <c r="K25" s="35"/>
      <c r="L25" s="35"/>
      <c r="M25" s="35"/>
      <c r="N25" s="35">
        <v>99.047619047619051</v>
      </c>
      <c r="S25" t="str">
        <f t="shared" si="0"/>
        <v>SC6</v>
      </c>
      <c r="T25" s="34">
        <f t="shared" si="1"/>
        <v>99.047619047619051</v>
      </c>
      <c r="U25" s="34">
        <f t="shared" si="2"/>
        <v>58.571428571428584</v>
      </c>
      <c r="V25" s="34">
        <f t="shared" si="3"/>
        <v>400</v>
      </c>
      <c r="W25" t="str">
        <f t="shared" si="4"/>
        <v>SC6</v>
      </c>
      <c r="X25" s="36">
        <f t="shared" si="5"/>
        <v>4.0384615384615383</v>
      </c>
      <c r="Y25" s="36">
        <f t="shared" si="6"/>
        <v>6.8292682926829258</v>
      </c>
    </row>
    <row r="26" spans="1:25">
      <c r="A26" s="33" t="s">
        <v>198</v>
      </c>
      <c r="B26" s="35">
        <v>257.14285714285717</v>
      </c>
      <c r="C26" s="35"/>
      <c r="D26" s="35">
        <v>70.28571428571432</v>
      </c>
      <c r="E26" s="35"/>
      <c r="F26" s="35"/>
      <c r="G26" s="35"/>
      <c r="H26" s="35"/>
      <c r="I26" s="35"/>
      <c r="J26" s="35">
        <v>134.28571428571436</v>
      </c>
      <c r="K26" s="35"/>
      <c r="L26" s="35"/>
      <c r="M26" s="35"/>
      <c r="N26" s="35">
        <v>153.90476190476195</v>
      </c>
      <c r="S26" t="str">
        <f t="shared" si="0"/>
        <v>SC7</v>
      </c>
      <c r="T26" s="34">
        <f t="shared" si="1"/>
        <v>153.90476190476195</v>
      </c>
      <c r="U26" s="34">
        <f t="shared" si="2"/>
        <v>102.28571428571433</v>
      </c>
      <c r="V26" s="34">
        <f t="shared" si="3"/>
        <v>400</v>
      </c>
      <c r="W26" t="str">
        <f t="shared" si="4"/>
        <v>SC7</v>
      </c>
      <c r="X26" s="36">
        <f t="shared" si="5"/>
        <v>2.5990099009900982</v>
      </c>
      <c r="Y26" s="36">
        <f t="shared" si="6"/>
        <v>3.9106145251396631</v>
      </c>
    </row>
    <row r="27" spans="1:25">
      <c r="A27" s="33" t="s">
        <v>199</v>
      </c>
      <c r="B27" s="35">
        <v>400</v>
      </c>
      <c r="C27" s="35">
        <v>58.252427184466043</v>
      </c>
      <c r="D27" s="35"/>
      <c r="E27" s="35"/>
      <c r="F27" s="35">
        <v>97.826086956521749</v>
      </c>
      <c r="G27" s="35"/>
      <c r="H27" s="35">
        <v>87.272727272727323</v>
      </c>
      <c r="I27" s="35"/>
      <c r="J27" s="35"/>
      <c r="K27" s="35"/>
      <c r="L27" s="35"/>
      <c r="M27" s="35"/>
      <c r="N27" s="35">
        <v>160.83781035342881</v>
      </c>
      <c r="S27" t="str">
        <f t="shared" si="0"/>
        <v>SC8</v>
      </c>
      <c r="T27" s="34">
        <f t="shared" si="1"/>
        <v>160.83781035342881</v>
      </c>
      <c r="U27" s="34">
        <f t="shared" si="2"/>
        <v>81.117080471238367</v>
      </c>
      <c r="V27" s="34">
        <f t="shared" si="3"/>
        <v>400</v>
      </c>
      <c r="W27" t="str">
        <f t="shared" si="4"/>
        <v>SC8</v>
      </c>
      <c r="X27" s="36">
        <f t="shared" si="5"/>
        <v>2.4869774036405405</v>
      </c>
      <c r="Y27" s="36">
        <f t="shared" si="6"/>
        <v>4.9311439425119321</v>
      </c>
    </row>
    <row r="28" spans="1:25">
      <c r="A28" s="33" t="s">
        <v>200</v>
      </c>
      <c r="B28" s="35">
        <v>36</v>
      </c>
      <c r="C28" s="35"/>
      <c r="D28" s="35">
        <v>38.55670103092784</v>
      </c>
      <c r="E28" s="35"/>
      <c r="F28" s="35"/>
      <c r="G28" s="35"/>
      <c r="H28" s="35"/>
      <c r="I28" s="35"/>
      <c r="J28" s="35"/>
      <c r="K28" s="35"/>
      <c r="L28" s="35"/>
      <c r="M28" s="35"/>
      <c r="N28" s="35">
        <v>37.704467353951891</v>
      </c>
      <c r="S28" t="str">
        <f t="shared" si="0"/>
        <v>SD1</v>
      </c>
      <c r="T28" s="34">
        <f t="shared" si="1"/>
        <v>37.704467353951891</v>
      </c>
      <c r="U28" s="34">
        <f t="shared" si="2"/>
        <v>38.55670103092784</v>
      </c>
      <c r="V28" s="34">
        <f t="shared" si="3"/>
        <v>300</v>
      </c>
      <c r="W28" t="str">
        <f t="shared" si="4"/>
        <v>SD1</v>
      </c>
      <c r="X28" s="36">
        <f t="shared" si="5"/>
        <v>7.9566168428727666</v>
      </c>
      <c r="Y28" s="36">
        <f t="shared" si="6"/>
        <v>7.780748663101603</v>
      </c>
    </row>
    <row r="29" spans="1:25">
      <c r="A29" s="33" t="s">
        <v>201</v>
      </c>
      <c r="B29" s="35">
        <v>120</v>
      </c>
      <c r="C29" s="35"/>
      <c r="D29" s="35">
        <v>76.673427991886399</v>
      </c>
      <c r="E29" s="35"/>
      <c r="F29" s="35"/>
      <c r="G29" s="35"/>
      <c r="H29" s="35"/>
      <c r="I29" s="35"/>
      <c r="J29" s="35"/>
      <c r="K29" s="35"/>
      <c r="L29" s="35"/>
      <c r="M29" s="35"/>
      <c r="N29" s="35">
        <v>91.115618661257599</v>
      </c>
      <c r="S29" t="str">
        <f t="shared" si="0"/>
        <v>SD2</v>
      </c>
      <c r="T29" s="34">
        <f t="shared" si="1"/>
        <v>91.115618661257599</v>
      </c>
      <c r="U29" s="34">
        <f t="shared" si="2"/>
        <v>76.673427991886399</v>
      </c>
      <c r="V29" s="34">
        <f t="shared" si="3"/>
        <v>0</v>
      </c>
      <c r="W29" t="str">
        <f t="shared" si="4"/>
        <v>SD2</v>
      </c>
      <c r="X29" s="36">
        <f t="shared" si="5"/>
        <v>0</v>
      </c>
      <c r="Y29" s="36">
        <f t="shared" si="6"/>
        <v>0</v>
      </c>
    </row>
    <row r="30" spans="1:25">
      <c r="A30" s="33" t="s">
        <v>202</v>
      </c>
      <c r="B30" s="35">
        <v>200</v>
      </c>
      <c r="C30" s="35"/>
      <c r="D30" s="35"/>
      <c r="E30" s="35"/>
      <c r="F30" s="35"/>
      <c r="G30" s="35">
        <v>25.565217391304344</v>
      </c>
      <c r="H30" s="35"/>
      <c r="I30" s="35"/>
      <c r="J30" s="35"/>
      <c r="K30" s="35"/>
      <c r="L30" s="35"/>
      <c r="M30" s="35"/>
      <c r="N30" s="35">
        <v>112.78260869565217</v>
      </c>
      <c r="S30" t="str">
        <f t="shared" si="0"/>
        <v>SD3</v>
      </c>
      <c r="T30" s="34">
        <f t="shared" si="1"/>
        <v>112.78260869565217</v>
      </c>
      <c r="U30" s="34">
        <f t="shared" si="2"/>
        <v>25.565217391304344</v>
      </c>
      <c r="V30" s="34">
        <f t="shared" si="3"/>
        <v>400</v>
      </c>
      <c r="W30" t="str">
        <f t="shared" si="4"/>
        <v>SD3</v>
      </c>
      <c r="X30" s="36">
        <f t="shared" si="5"/>
        <v>3.546646106399383</v>
      </c>
      <c r="Y30" s="36">
        <f t="shared" si="6"/>
        <v>15.646258503401363</v>
      </c>
    </row>
    <row r="31" spans="1:25">
      <c r="A31" s="33" t="s">
        <v>203</v>
      </c>
      <c r="B31" s="35">
        <v>60</v>
      </c>
      <c r="C31" s="35"/>
      <c r="D31" s="35"/>
      <c r="E31" s="35"/>
      <c r="F31" s="35"/>
      <c r="G31" s="35"/>
      <c r="H31" s="35">
        <v>66.375000000000043</v>
      </c>
      <c r="I31" s="35"/>
      <c r="J31" s="35"/>
      <c r="K31" s="35"/>
      <c r="L31" s="35"/>
      <c r="M31" s="35"/>
      <c r="N31" s="35">
        <v>63.187500000000021</v>
      </c>
      <c r="S31" t="str">
        <f t="shared" si="0"/>
        <v>SD4</v>
      </c>
      <c r="T31" s="34">
        <f t="shared" si="1"/>
        <v>63.187500000000021</v>
      </c>
      <c r="U31" s="34">
        <f t="shared" si="2"/>
        <v>66.375000000000043</v>
      </c>
      <c r="V31" s="34">
        <f t="shared" si="3"/>
        <v>400</v>
      </c>
      <c r="W31" t="str">
        <f t="shared" si="4"/>
        <v>SD4</v>
      </c>
      <c r="X31" s="36">
        <f t="shared" si="5"/>
        <v>6.3303659742828859</v>
      </c>
      <c r="Y31" s="36">
        <f t="shared" si="6"/>
        <v>6.026365348399243</v>
      </c>
    </row>
    <row r="32" spans="1:25">
      <c r="A32" s="33" t="s">
        <v>204</v>
      </c>
      <c r="B32" s="35">
        <v>120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>
        <v>120</v>
      </c>
      <c r="S32" t="str">
        <f t="shared" si="0"/>
        <v>SD5</v>
      </c>
      <c r="T32" s="34">
        <f t="shared" si="1"/>
        <v>120</v>
      </c>
      <c r="U32" s="34">
        <f t="shared" si="2"/>
        <v>120</v>
      </c>
      <c r="V32" s="34">
        <f t="shared" si="3"/>
        <v>400</v>
      </c>
      <c r="W32" t="str">
        <f t="shared" si="4"/>
        <v>SD5</v>
      </c>
      <c r="X32" s="36">
        <f t="shared" si="5"/>
        <v>3.3333333333333335</v>
      </c>
      <c r="Y32" s="36">
        <f t="shared" si="6"/>
        <v>3.3333333333333335</v>
      </c>
    </row>
    <row r="33" spans="1:25">
      <c r="A33" s="33" t="s">
        <v>205</v>
      </c>
      <c r="B33" s="35">
        <v>120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>
        <v>120</v>
      </c>
      <c r="S33" t="str">
        <f t="shared" si="0"/>
        <v>SD6</v>
      </c>
      <c r="T33" s="34">
        <f t="shared" si="1"/>
        <v>120</v>
      </c>
      <c r="U33" s="34">
        <f t="shared" si="2"/>
        <v>120</v>
      </c>
      <c r="V33" s="34">
        <f t="shared" si="3"/>
        <v>400</v>
      </c>
      <c r="W33" t="str">
        <f t="shared" si="4"/>
        <v>SD6</v>
      </c>
      <c r="X33" s="36">
        <f t="shared" si="5"/>
        <v>3.3333333333333335</v>
      </c>
      <c r="Y33" s="36">
        <f t="shared" si="6"/>
        <v>3.3333333333333335</v>
      </c>
    </row>
    <row r="34" spans="1:25">
      <c r="A34" s="33" t="s">
        <v>206</v>
      </c>
      <c r="B34" s="35">
        <v>120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>
        <v>120</v>
      </c>
      <c r="S34" t="str">
        <f t="shared" si="0"/>
        <v>SD7</v>
      </c>
      <c r="T34" s="34">
        <f t="shared" si="1"/>
        <v>120</v>
      </c>
      <c r="U34" s="34">
        <f t="shared" si="2"/>
        <v>120</v>
      </c>
      <c r="V34" s="34">
        <f t="shared" si="3"/>
        <v>400</v>
      </c>
      <c r="W34" t="str">
        <f t="shared" si="4"/>
        <v>SD7</v>
      </c>
      <c r="X34" s="36">
        <f t="shared" si="5"/>
        <v>3.3333333333333335</v>
      </c>
      <c r="Y34" s="36">
        <f t="shared" si="6"/>
        <v>3.3333333333333335</v>
      </c>
    </row>
    <row r="35" spans="1:25">
      <c r="A35" s="33" t="s">
        <v>207</v>
      </c>
      <c r="B35" s="35">
        <v>120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>
        <v>120</v>
      </c>
      <c r="S35" t="str">
        <f t="shared" si="0"/>
        <v>SD8</v>
      </c>
      <c r="T35" s="34">
        <f t="shared" si="1"/>
        <v>120</v>
      </c>
      <c r="U35" s="34">
        <f t="shared" si="2"/>
        <v>120</v>
      </c>
      <c r="V35" s="34">
        <f t="shared" si="3"/>
        <v>400</v>
      </c>
      <c r="W35" t="str">
        <f t="shared" si="4"/>
        <v>SD8</v>
      </c>
      <c r="X35" s="36">
        <f t="shared" si="5"/>
        <v>3.3333333333333335</v>
      </c>
      <c r="Y35" s="36">
        <f t="shared" si="6"/>
        <v>3.3333333333333335</v>
      </c>
    </row>
    <row r="36" spans="1:25">
      <c r="A36" s="33" t="s">
        <v>340</v>
      </c>
      <c r="B36" s="34">
        <v>212.02927622661969</v>
      </c>
      <c r="C36" s="34">
        <v>85.87103592931679</v>
      </c>
      <c r="D36" s="34">
        <v>118.23789537084927</v>
      </c>
      <c r="E36" s="34">
        <v>48.679487179487182</v>
      </c>
      <c r="F36" s="34">
        <v>67.703948360212578</v>
      </c>
      <c r="G36" s="34">
        <v>30.444875776397545</v>
      </c>
      <c r="H36" s="34">
        <v>77.080287569573301</v>
      </c>
      <c r="I36" s="34">
        <v>48.679487179487182</v>
      </c>
      <c r="J36" s="34">
        <v>73.291342326404234</v>
      </c>
      <c r="K36" s="34">
        <v>128.07692307692307</v>
      </c>
      <c r="L36" s="34">
        <v>47.487179487179496</v>
      </c>
      <c r="M36" s="34">
        <v>58.359999999999992</v>
      </c>
      <c r="N36" s="34">
        <v>127.12724342235998</v>
      </c>
    </row>
    <row r="38" spans="1:25">
      <c r="A38" s="32" t="s">
        <v>331</v>
      </c>
      <c r="B38" t="s">
        <v>344</v>
      </c>
      <c r="D38" s="5" t="s">
        <v>351</v>
      </c>
      <c r="F38">
        <v>400</v>
      </c>
    </row>
    <row r="40" spans="1:25">
      <c r="A40" s="32" t="s">
        <v>341</v>
      </c>
      <c r="B40" t="s">
        <v>343</v>
      </c>
      <c r="D40" s="5" t="s">
        <v>116</v>
      </c>
      <c r="E40" s="5" t="s">
        <v>304</v>
      </c>
      <c r="F40" s="5" t="s">
        <v>352</v>
      </c>
    </row>
    <row r="41" spans="1:25">
      <c r="A41" s="33" t="s">
        <v>179</v>
      </c>
      <c r="B41" s="35">
        <v>400</v>
      </c>
      <c r="D41" t="str">
        <f>A41</f>
        <v>CFA1</v>
      </c>
      <c r="E41" s="34">
        <f>B41</f>
        <v>400</v>
      </c>
      <c r="F41" s="34">
        <f>$F$38-E41</f>
        <v>0</v>
      </c>
    </row>
    <row r="42" spans="1:25">
      <c r="A42" s="33" t="s">
        <v>180</v>
      </c>
      <c r="B42" s="35">
        <v>400</v>
      </c>
      <c r="D42" t="str">
        <f t="shared" ref="D42:D71" si="7">A42</f>
        <v>CTA1</v>
      </c>
      <c r="E42" s="34">
        <f t="shared" ref="E42:E71" si="8">B42</f>
        <v>400</v>
      </c>
      <c r="F42" s="34">
        <f t="shared" ref="F42:F71" si="9">$F$38-E42</f>
        <v>0</v>
      </c>
    </row>
    <row r="43" spans="1:25">
      <c r="A43" s="33" t="s">
        <v>208</v>
      </c>
      <c r="B43" s="35"/>
      <c r="D43" t="str">
        <f t="shared" si="7"/>
        <v>IFA</v>
      </c>
      <c r="E43" s="34">
        <f t="shared" si="8"/>
        <v>0</v>
      </c>
      <c r="F43" s="34">
        <f t="shared" si="9"/>
        <v>400</v>
      </c>
    </row>
    <row r="44" spans="1:25">
      <c r="A44" s="33" t="s">
        <v>209</v>
      </c>
      <c r="B44" s="35"/>
      <c r="D44" t="str">
        <f t="shared" si="7"/>
        <v>IFB</v>
      </c>
      <c r="E44" s="34">
        <f t="shared" si="8"/>
        <v>0</v>
      </c>
      <c r="F44" s="34">
        <f t="shared" si="9"/>
        <v>400</v>
      </c>
    </row>
    <row r="45" spans="1:25">
      <c r="A45" s="33" t="s">
        <v>210</v>
      </c>
      <c r="B45" s="35"/>
      <c r="D45" t="str">
        <f t="shared" si="7"/>
        <v>IFC</v>
      </c>
      <c r="E45" s="34">
        <f t="shared" si="8"/>
        <v>0</v>
      </c>
      <c r="F45" s="34">
        <f t="shared" si="9"/>
        <v>400</v>
      </c>
    </row>
    <row r="46" spans="1:25">
      <c r="A46" s="33" t="s">
        <v>211</v>
      </c>
      <c r="B46" s="35"/>
      <c r="D46" t="str">
        <f t="shared" si="7"/>
        <v>IFD</v>
      </c>
      <c r="E46" s="34">
        <f t="shared" si="8"/>
        <v>0</v>
      </c>
      <c r="F46" s="34">
        <f t="shared" si="9"/>
        <v>400</v>
      </c>
    </row>
    <row r="47" spans="1:25">
      <c r="A47" s="33" t="s">
        <v>181</v>
      </c>
      <c r="B47" s="35">
        <v>400</v>
      </c>
      <c r="D47" t="str">
        <f t="shared" si="7"/>
        <v>PSA1</v>
      </c>
      <c r="E47" s="34">
        <f t="shared" si="8"/>
        <v>400</v>
      </c>
      <c r="F47" s="34">
        <f t="shared" si="9"/>
        <v>0</v>
      </c>
    </row>
    <row r="48" spans="1:25">
      <c r="A48" s="33" t="s">
        <v>182</v>
      </c>
      <c r="B48" s="35">
        <v>200</v>
      </c>
      <c r="D48" t="str">
        <f t="shared" si="7"/>
        <v>SA1</v>
      </c>
      <c r="E48" s="34">
        <f t="shared" si="8"/>
        <v>200</v>
      </c>
      <c r="F48" s="34">
        <f t="shared" si="9"/>
        <v>200</v>
      </c>
    </row>
    <row r="49" spans="1:6">
      <c r="A49" s="33" t="s">
        <v>184</v>
      </c>
      <c r="B49" s="35"/>
      <c r="D49" t="str">
        <f t="shared" si="7"/>
        <v>SA2</v>
      </c>
      <c r="E49" s="34">
        <f t="shared" si="8"/>
        <v>0</v>
      </c>
      <c r="F49" s="34">
        <f t="shared" si="9"/>
        <v>400</v>
      </c>
    </row>
    <row r="50" spans="1:6">
      <c r="A50" s="33" t="s">
        <v>185</v>
      </c>
      <c r="B50" s="35">
        <v>400</v>
      </c>
      <c r="D50" t="str">
        <f t="shared" si="7"/>
        <v>SB1</v>
      </c>
      <c r="E50" s="34">
        <f t="shared" si="8"/>
        <v>400</v>
      </c>
      <c r="F50" s="34">
        <f t="shared" si="9"/>
        <v>0</v>
      </c>
    </row>
    <row r="51" spans="1:6">
      <c r="A51" s="33" t="s">
        <v>186</v>
      </c>
      <c r="B51" s="35">
        <v>400</v>
      </c>
      <c r="D51" t="str">
        <f t="shared" si="7"/>
        <v>SB2</v>
      </c>
      <c r="E51" s="34">
        <f t="shared" si="8"/>
        <v>400</v>
      </c>
      <c r="F51" s="34">
        <f t="shared" si="9"/>
        <v>0</v>
      </c>
    </row>
    <row r="52" spans="1:6">
      <c r="A52" s="33" t="s">
        <v>187</v>
      </c>
      <c r="B52" s="35">
        <v>382</v>
      </c>
      <c r="D52" t="str">
        <f t="shared" si="7"/>
        <v>SB3</v>
      </c>
      <c r="E52" s="34">
        <f t="shared" si="8"/>
        <v>382</v>
      </c>
      <c r="F52" s="34">
        <f t="shared" si="9"/>
        <v>18</v>
      </c>
    </row>
    <row r="53" spans="1:6">
      <c r="A53" s="33" t="s">
        <v>188</v>
      </c>
      <c r="B53" s="35"/>
      <c r="D53" t="str">
        <f t="shared" si="7"/>
        <v>SB4</v>
      </c>
      <c r="E53" s="34">
        <f t="shared" si="8"/>
        <v>0</v>
      </c>
      <c r="F53" s="34">
        <f t="shared" si="9"/>
        <v>400</v>
      </c>
    </row>
    <row r="54" spans="1:6">
      <c r="A54" s="33" t="s">
        <v>189</v>
      </c>
      <c r="B54" s="35"/>
      <c r="D54" t="str">
        <f t="shared" si="7"/>
        <v>SB5</v>
      </c>
      <c r="E54" s="34">
        <f t="shared" si="8"/>
        <v>0</v>
      </c>
      <c r="F54" s="34">
        <f t="shared" si="9"/>
        <v>400</v>
      </c>
    </row>
    <row r="55" spans="1:6">
      <c r="A55" s="33" t="s">
        <v>190</v>
      </c>
      <c r="B55" s="35"/>
      <c r="D55" t="str">
        <f t="shared" si="7"/>
        <v>SB6</v>
      </c>
      <c r="E55" s="34">
        <f t="shared" si="8"/>
        <v>0</v>
      </c>
      <c r="F55" s="34">
        <f t="shared" si="9"/>
        <v>400</v>
      </c>
    </row>
    <row r="56" spans="1:6">
      <c r="A56" s="33" t="s">
        <v>191</v>
      </c>
      <c r="B56" s="35"/>
      <c r="D56" t="str">
        <f t="shared" si="7"/>
        <v>SC1</v>
      </c>
      <c r="E56" s="34">
        <f t="shared" si="8"/>
        <v>0</v>
      </c>
      <c r="F56" s="34">
        <f t="shared" si="9"/>
        <v>400</v>
      </c>
    </row>
    <row r="57" spans="1:6">
      <c r="A57" s="33" t="s">
        <v>192</v>
      </c>
      <c r="B57" s="35"/>
      <c r="D57" t="str">
        <f t="shared" si="7"/>
        <v>SC2</v>
      </c>
      <c r="E57" s="34">
        <f t="shared" si="8"/>
        <v>0</v>
      </c>
      <c r="F57" s="34">
        <f t="shared" si="9"/>
        <v>400</v>
      </c>
    </row>
    <row r="58" spans="1:6">
      <c r="A58" s="33" t="s">
        <v>193</v>
      </c>
      <c r="B58" s="35"/>
      <c r="D58" t="str">
        <f t="shared" si="7"/>
        <v>SC3</v>
      </c>
      <c r="E58" s="34">
        <f t="shared" si="8"/>
        <v>0</v>
      </c>
      <c r="F58" s="34">
        <f t="shared" si="9"/>
        <v>400</v>
      </c>
    </row>
    <row r="59" spans="1:6">
      <c r="A59" s="33" t="s">
        <v>194</v>
      </c>
      <c r="B59" s="35"/>
      <c r="D59" t="str">
        <f t="shared" si="7"/>
        <v>SC4</v>
      </c>
      <c r="E59" s="34">
        <f t="shared" si="8"/>
        <v>0</v>
      </c>
      <c r="F59" s="34">
        <f t="shared" si="9"/>
        <v>400</v>
      </c>
    </row>
    <row r="60" spans="1:6">
      <c r="A60" s="33" t="s">
        <v>195</v>
      </c>
      <c r="B60" s="35"/>
      <c r="D60" t="str">
        <f t="shared" si="7"/>
        <v>SC5</v>
      </c>
      <c r="E60" s="34">
        <f t="shared" si="8"/>
        <v>0</v>
      </c>
      <c r="F60" s="34">
        <f t="shared" si="9"/>
        <v>400</v>
      </c>
    </row>
    <row r="61" spans="1:6">
      <c r="A61" s="33" t="s">
        <v>197</v>
      </c>
      <c r="B61" s="35"/>
      <c r="D61" t="str">
        <f t="shared" si="7"/>
        <v>SC6</v>
      </c>
      <c r="E61" s="34">
        <f t="shared" si="8"/>
        <v>0</v>
      </c>
      <c r="F61" s="34">
        <f t="shared" si="9"/>
        <v>400</v>
      </c>
    </row>
    <row r="62" spans="1:6">
      <c r="A62" s="33" t="s">
        <v>198</v>
      </c>
      <c r="B62" s="35"/>
      <c r="D62" t="str">
        <f t="shared" si="7"/>
        <v>SC7</v>
      </c>
      <c r="E62" s="34">
        <f t="shared" si="8"/>
        <v>0</v>
      </c>
      <c r="F62" s="34">
        <f t="shared" si="9"/>
        <v>400</v>
      </c>
    </row>
    <row r="63" spans="1:6">
      <c r="A63" s="33" t="s">
        <v>199</v>
      </c>
      <c r="B63" s="35"/>
      <c r="D63" t="str">
        <f t="shared" si="7"/>
        <v>SC8</v>
      </c>
      <c r="E63" s="34">
        <f t="shared" si="8"/>
        <v>0</v>
      </c>
      <c r="F63" s="34">
        <f t="shared" si="9"/>
        <v>400</v>
      </c>
    </row>
    <row r="64" spans="1:6">
      <c r="A64" s="33" t="s">
        <v>200</v>
      </c>
      <c r="B64" s="35">
        <v>100</v>
      </c>
      <c r="D64" t="str">
        <f t="shared" si="7"/>
        <v>SD1</v>
      </c>
      <c r="E64" s="34">
        <f t="shared" si="8"/>
        <v>100</v>
      </c>
      <c r="F64" s="34">
        <f t="shared" si="9"/>
        <v>300</v>
      </c>
    </row>
    <row r="65" spans="1:6">
      <c r="A65" s="33" t="s">
        <v>201</v>
      </c>
      <c r="B65" s="35">
        <v>400</v>
      </c>
      <c r="D65" t="str">
        <f t="shared" si="7"/>
        <v>SD2</v>
      </c>
      <c r="E65" s="34">
        <f t="shared" si="8"/>
        <v>400</v>
      </c>
      <c r="F65" s="34">
        <f t="shared" si="9"/>
        <v>0</v>
      </c>
    </row>
    <row r="66" spans="1:6">
      <c r="A66" s="33" t="s">
        <v>202</v>
      </c>
      <c r="B66" s="35"/>
      <c r="D66" t="str">
        <f t="shared" si="7"/>
        <v>SD3</v>
      </c>
      <c r="E66" s="34">
        <f t="shared" si="8"/>
        <v>0</v>
      </c>
      <c r="F66" s="34">
        <f t="shared" si="9"/>
        <v>400</v>
      </c>
    </row>
    <row r="67" spans="1:6">
      <c r="A67" s="33" t="s">
        <v>203</v>
      </c>
      <c r="B67" s="35"/>
      <c r="D67" t="str">
        <f t="shared" si="7"/>
        <v>SD4</v>
      </c>
      <c r="E67" s="34">
        <f t="shared" si="8"/>
        <v>0</v>
      </c>
      <c r="F67" s="34">
        <f t="shared" si="9"/>
        <v>400</v>
      </c>
    </row>
    <row r="68" spans="1:6">
      <c r="A68" s="33" t="s">
        <v>204</v>
      </c>
      <c r="B68" s="35"/>
      <c r="D68" t="str">
        <f t="shared" si="7"/>
        <v>SD5</v>
      </c>
      <c r="E68" s="34">
        <f t="shared" si="8"/>
        <v>0</v>
      </c>
      <c r="F68" s="34">
        <f t="shared" si="9"/>
        <v>400</v>
      </c>
    </row>
    <row r="69" spans="1:6">
      <c r="A69" s="33" t="s">
        <v>205</v>
      </c>
      <c r="B69" s="35"/>
      <c r="D69" t="str">
        <f t="shared" si="7"/>
        <v>SD6</v>
      </c>
      <c r="E69" s="34">
        <f t="shared" si="8"/>
        <v>0</v>
      </c>
      <c r="F69" s="34">
        <f t="shared" si="9"/>
        <v>400</v>
      </c>
    </row>
    <row r="70" spans="1:6">
      <c r="A70" s="33" t="s">
        <v>206</v>
      </c>
      <c r="B70" s="35"/>
      <c r="D70" t="str">
        <f t="shared" si="7"/>
        <v>SD7</v>
      </c>
      <c r="E70" s="34">
        <f t="shared" si="8"/>
        <v>0</v>
      </c>
      <c r="F70" s="34">
        <f t="shared" si="9"/>
        <v>400</v>
      </c>
    </row>
    <row r="71" spans="1:6">
      <c r="A71" s="33" t="s">
        <v>207</v>
      </c>
      <c r="B71" s="35"/>
      <c r="D71" t="str">
        <f t="shared" si="7"/>
        <v>SD8</v>
      </c>
      <c r="E71" s="34">
        <f t="shared" si="8"/>
        <v>0</v>
      </c>
      <c r="F71" s="34">
        <f t="shared" si="9"/>
        <v>400</v>
      </c>
    </row>
    <row r="72" spans="1:6">
      <c r="A72" s="33" t="s">
        <v>340</v>
      </c>
      <c r="B72" s="34">
        <v>3082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D8D0-15B5-9A42-8D01-729869FEAA36}">
  <dimension ref="A1:P107"/>
  <sheetViews>
    <sheetView workbookViewId="0">
      <pane ySplit="1" topLeftCell="A56" activePane="bottomLeft" state="frozen"/>
      <selection pane="bottomLeft" activeCell="F81" sqref="F81"/>
    </sheetView>
  </sheetViews>
  <sheetFormatPr baseColWidth="10" defaultRowHeight="13"/>
  <cols>
    <col min="1" max="1" width="14" style="13" bestFit="1" customWidth="1"/>
    <col min="2" max="2" width="7.5" style="13" bestFit="1" customWidth="1"/>
    <col min="3" max="3" width="8.1640625" style="13" bestFit="1" customWidth="1"/>
    <col min="4" max="4" width="7.33203125" style="13" bestFit="1" customWidth="1"/>
    <col min="5" max="5" width="9.5" style="13" bestFit="1" customWidth="1"/>
    <col min="6" max="6" width="22.5" style="13" bestFit="1" customWidth="1"/>
    <col min="7" max="7" width="9.5" style="13" bestFit="1" customWidth="1"/>
    <col min="8" max="8" width="10.83203125" style="13" bestFit="1" customWidth="1"/>
    <col min="9" max="9" width="14.33203125" style="13" bestFit="1" customWidth="1"/>
    <col min="10" max="16384" width="10.83203125" style="13"/>
  </cols>
  <sheetData>
    <row r="1" spans="1:14" s="12" customFormat="1">
      <c r="A1" s="12" t="s">
        <v>331</v>
      </c>
      <c r="B1" s="12" t="s">
        <v>315</v>
      </c>
      <c r="C1" s="12" t="s">
        <v>4</v>
      </c>
      <c r="D1" s="12" t="s">
        <v>116</v>
      </c>
      <c r="E1" s="12" t="s">
        <v>301</v>
      </c>
      <c r="F1" s="12" t="s">
        <v>118</v>
      </c>
      <c r="G1" s="12" t="s">
        <v>302</v>
      </c>
      <c r="H1" s="12" t="s">
        <v>303</v>
      </c>
      <c r="I1" s="12" t="s">
        <v>304</v>
      </c>
      <c r="J1" s="12" t="s">
        <v>334</v>
      </c>
      <c r="K1" s="12" t="s">
        <v>335</v>
      </c>
      <c r="L1" s="12" t="s">
        <v>336</v>
      </c>
    </row>
    <row r="2" spans="1:14">
      <c r="A2" s="13" t="s">
        <v>338</v>
      </c>
      <c r="B2" s="14">
        <v>46023</v>
      </c>
      <c r="C2" s="13" t="s">
        <v>337</v>
      </c>
      <c r="D2" s="13" t="s">
        <v>179</v>
      </c>
      <c r="E2" s="13">
        <v>1</v>
      </c>
      <c r="F2" s="13" t="s">
        <v>213</v>
      </c>
      <c r="G2" s="15"/>
      <c r="H2" s="15"/>
      <c r="I2" s="13">
        <v>400</v>
      </c>
      <c r="L2" s="31">
        <v>40</v>
      </c>
      <c r="M2" s="15"/>
      <c r="N2" s="17"/>
    </row>
    <row r="3" spans="1:14">
      <c r="A3" s="13" t="s">
        <v>338</v>
      </c>
      <c r="B3" s="14">
        <v>46023</v>
      </c>
      <c r="C3" s="13" t="s">
        <v>337</v>
      </c>
      <c r="D3" s="13" t="s">
        <v>180</v>
      </c>
      <c r="E3" s="13">
        <v>2</v>
      </c>
      <c r="F3" s="13" t="s">
        <v>183</v>
      </c>
      <c r="G3" s="15"/>
      <c r="H3" s="15"/>
      <c r="I3" s="13">
        <v>400</v>
      </c>
      <c r="L3" s="31">
        <v>1800</v>
      </c>
      <c r="M3" s="15"/>
      <c r="N3" s="17"/>
    </row>
    <row r="4" spans="1:14">
      <c r="A4" s="13" t="s">
        <v>338</v>
      </c>
      <c r="B4" s="14">
        <v>46023</v>
      </c>
      <c r="C4" s="13" t="s">
        <v>337</v>
      </c>
      <c r="D4" s="13" t="s">
        <v>208</v>
      </c>
      <c r="E4" s="13">
        <v>28</v>
      </c>
      <c r="F4" s="13" t="s">
        <v>172</v>
      </c>
      <c r="G4" s="15"/>
      <c r="H4" s="15"/>
      <c r="L4" s="31">
        <v>120</v>
      </c>
      <c r="M4" s="15"/>
      <c r="N4" s="17"/>
    </row>
    <row r="5" spans="1:14">
      <c r="A5" s="13" t="s">
        <v>338</v>
      </c>
      <c r="B5" s="14">
        <v>46023</v>
      </c>
      <c r="C5" s="13" t="s">
        <v>337</v>
      </c>
      <c r="D5" s="13" t="s">
        <v>209</v>
      </c>
      <c r="E5" s="13">
        <v>29</v>
      </c>
      <c r="F5" s="13" t="s">
        <v>174</v>
      </c>
      <c r="G5" s="15"/>
      <c r="H5" s="15"/>
      <c r="L5" s="31">
        <v>72</v>
      </c>
    </row>
    <row r="6" spans="1:14">
      <c r="A6" s="13" t="s">
        <v>338</v>
      </c>
      <c r="B6" s="14">
        <v>46023</v>
      </c>
      <c r="C6" s="13" t="s">
        <v>337</v>
      </c>
      <c r="D6" s="13" t="s">
        <v>210</v>
      </c>
      <c r="E6" s="13">
        <v>30</v>
      </c>
      <c r="F6" s="13" t="s">
        <v>176</v>
      </c>
      <c r="G6" s="15"/>
      <c r="H6" s="15"/>
      <c r="L6" s="31">
        <v>120</v>
      </c>
    </row>
    <row r="7" spans="1:14">
      <c r="A7" s="13" t="s">
        <v>338</v>
      </c>
      <c r="B7" s="14">
        <v>46023</v>
      </c>
      <c r="C7" s="13" t="s">
        <v>337</v>
      </c>
      <c r="D7" s="13" t="s">
        <v>211</v>
      </c>
      <c r="E7" s="13">
        <v>31</v>
      </c>
      <c r="F7" s="13" t="s">
        <v>178</v>
      </c>
      <c r="G7" s="15"/>
      <c r="H7" s="15"/>
      <c r="L7" s="31">
        <v>60</v>
      </c>
    </row>
    <row r="8" spans="1:14">
      <c r="A8" s="13" t="s">
        <v>338</v>
      </c>
      <c r="B8" s="14">
        <v>46023</v>
      </c>
      <c r="C8" s="13" t="s">
        <v>337</v>
      </c>
      <c r="D8" s="13" t="s">
        <v>181</v>
      </c>
      <c r="E8" s="13">
        <v>3</v>
      </c>
      <c r="F8" s="13" t="s">
        <v>213</v>
      </c>
      <c r="G8" s="15"/>
      <c r="H8" s="15"/>
      <c r="L8" s="31">
        <v>514.28571428571433</v>
      </c>
    </row>
    <row r="9" spans="1:14">
      <c r="A9" s="13" t="s">
        <v>338</v>
      </c>
      <c r="B9" s="14">
        <v>46023</v>
      </c>
      <c r="C9" s="13" t="s">
        <v>337</v>
      </c>
      <c r="D9" s="13" t="s">
        <v>182</v>
      </c>
      <c r="E9" s="13">
        <v>4</v>
      </c>
      <c r="F9" s="13" t="s">
        <v>125</v>
      </c>
      <c r="G9" s="15"/>
      <c r="H9" s="15"/>
      <c r="L9" s="31">
        <v>180</v>
      </c>
    </row>
    <row r="10" spans="1:14">
      <c r="A10" s="13" t="s">
        <v>338</v>
      </c>
      <c r="B10" s="14">
        <v>46023</v>
      </c>
      <c r="C10" s="13" t="s">
        <v>337</v>
      </c>
      <c r="D10" s="13" t="s">
        <v>184</v>
      </c>
      <c r="E10" s="13">
        <v>5</v>
      </c>
      <c r="F10" s="13" t="s">
        <v>127</v>
      </c>
      <c r="G10" s="15"/>
      <c r="H10" s="15"/>
      <c r="L10" s="31">
        <v>144</v>
      </c>
    </row>
    <row r="11" spans="1:14">
      <c r="A11" s="13" t="s">
        <v>338</v>
      </c>
      <c r="B11" s="14">
        <v>46023</v>
      </c>
      <c r="C11" s="13" t="s">
        <v>337</v>
      </c>
      <c r="D11" s="13" t="s">
        <v>185</v>
      </c>
      <c r="E11" s="13">
        <v>6</v>
      </c>
      <c r="F11" s="13" t="s">
        <v>129</v>
      </c>
      <c r="G11" s="15"/>
      <c r="H11" s="15"/>
      <c r="L11" s="31">
        <v>300</v>
      </c>
    </row>
    <row r="12" spans="1:14">
      <c r="A12" s="13" t="s">
        <v>338</v>
      </c>
      <c r="B12" s="14">
        <v>46023</v>
      </c>
      <c r="C12" s="13" t="s">
        <v>337</v>
      </c>
      <c r="D12" s="13" t="s">
        <v>186</v>
      </c>
      <c r="E12" s="13">
        <v>7</v>
      </c>
      <c r="F12" s="13" t="s">
        <v>131</v>
      </c>
      <c r="G12" s="15"/>
      <c r="H12" s="15"/>
      <c r="L12" s="31">
        <v>60</v>
      </c>
    </row>
    <row r="13" spans="1:14">
      <c r="A13" s="13" t="s">
        <v>338</v>
      </c>
      <c r="B13" s="14">
        <v>46023</v>
      </c>
      <c r="C13" s="13" t="s">
        <v>337</v>
      </c>
      <c r="D13" s="13" t="s">
        <v>187</v>
      </c>
      <c r="E13" s="13">
        <v>8</v>
      </c>
      <c r="F13" s="13" t="s">
        <v>133</v>
      </c>
      <c r="G13" s="15"/>
      <c r="H13" s="15"/>
      <c r="L13" s="31">
        <v>144</v>
      </c>
    </row>
    <row r="14" spans="1:14">
      <c r="A14" s="13" t="s">
        <v>338</v>
      </c>
      <c r="B14" s="14">
        <v>46023</v>
      </c>
      <c r="C14" s="13" t="s">
        <v>337</v>
      </c>
      <c r="D14" s="13" t="s">
        <v>188</v>
      </c>
      <c r="E14" s="13">
        <v>9</v>
      </c>
      <c r="F14" s="13" t="s">
        <v>135</v>
      </c>
      <c r="G14" s="15"/>
      <c r="H14" s="15"/>
      <c r="L14" s="31">
        <v>102.85714285714286</v>
      </c>
    </row>
    <row r="15" spans="1:14">
      <c r="A15" s="13" t="s">
        <v>338</v>
      </c>
      <c r="B15" s="14">
        <v>46023</v>
      </c>
      <c r="C15" s="13" t="s">
        <v>337</v>
      </c>
      <c r="D15" s="13" t="s">
        <v>189</v>
      </c>
      <c r="E15" s="13">
        <v>10</v>
      </c>
      <c r="F15" s="13" t="s">
        <v>137</v>
      </c>
      <c r="G15" s="15"/>
      <c r="H15" s="15"/>
      <c r="L15" s="31">
        <v>240</v>
      </c>
    </row>
    <row r="16" spans="1:14">
      <c r="A16" s="13" t="s">
        <v>338</v>
      </c>
      <c r="B16" s="14">
        <v>46023</v>
      </c>
      <c r="C16" s="13" t="s">
        <v>337</v>
      </c>
      <c r="D16" s="13" t="s">
        <v>190</v>
      </c>
      <c r="E16" s="13">
        <v>11</v>
      </c>
      <c r="F16" s="13" t="s">
        <v>139</v>
      </c>
      <c r="G16" s="15"/>
      <c r="H16" s="15"/>
      <c r="L16" s="31">
        <v>144</v>
      </c>
    </row>
    <row r="17" spans="1:16">
      <c r="A17" s="13" t="s">
        <v>338</v>
      </c>
      <c r="B17" s="14">
        <v>46023</v>
      </c>
      <c r="C17" s="13" t="s">
        <v>337</v>
      </c>
      <c r="D17" s="13" t="s">
        <v>191</v>
      </c>
      <c r="E17" s="13">
        <v>12</v>
      </c>
      <c r="F17" s="13" t="s">
        <v>141</v>
      </c>
      <c r="G17" s="15"/>
      <c r="H17" s="15"/>
      <c r="L17" s="31">
        <v>211.76470588235293</v>
      </c>
    </row>
    <row r="18" spans="1:16">
      <c r="A18" s="13" t="s">
        <v>338</v>
      </c>
      <c r="B18" s="14">
        <v>46023</v>
      </c>
      <c r="C18" s="13" t="s">
        <v>337</v>
      </c>
      <c r="D18" s="13" t="s">
        <v>192</v>
      </c>
      <c r="E18" s="13">
        <v>13</v>
      </c>
      <c r="F18" s="13" t="s">
        <v>143</v>
      </c>
      <c r="G18" s="15"/>
      <c r="H18" s="15"/>
      <c r="L18" s="31">
        <v>102.85714285714286</v>
      </c>
    </row>
    <row r="19" spans="1:16">
      <c r="A19" s="13" t="s">
        <v>338</v>
      </c>
      <c r="B19" s="14">
        <v>46023</v>
      </c>
      <c r="C19" s="13" t="s">
        <v>337</v>
      </c>
      <c r="D19" s="13" t="s">
        <v>193</v>
      </c>
      <c r="E19" s="13">
        <v>14</v>
      </c>
      <c r="F19" s="13" t="s">
        <v>145</v>
      </c>
      <c r="G19" s="15"/>
      <c r="H19" s="15"/>
      <c r="L19" s="31">
        <v>100</v>
      </c>
    </row>
    <row r="20" spans="1:16">
      <c r="A20" s="13" t="s">
        <v>338</v>
      </c>
      <c r="B20" s="14">
        <v>46023</v>
      </c>
      <c r="C20" s="13" t="s">
        <v>337</v>
      </c>
      <c r="D20" s="13" t="s">
        <v>194</v>
      </c>
      <c r="E20" s="13">
        <v>15</v>
      </c>
      <c r="F20" s="13" t="s">
        <v>147</v>
      </c>
      <c r="G20" s="15"/>
      <c r="H20" s="15"/>
      <c r="L20" s="31">
        <v>144</v>
      </c>
    </row>
    <row r="21" spans="1:16">
      <c r="A21" s="13" t="s">
        <v>338</v>
      </c>
      <c r="B21" s="14">
        <v>46023</v>
      </c>
      <c r="C21" s="13" t="s">
        <v>337</v>
      </c>
      <c r="D21" s="13" t="s">
        <v>195</v>
      </c>
      <c r="E21" s="13">
        <v>16</v>
      </c>
      <c r="F21" s="13" t="s">
        <v>149</v>
      </c>
      <c r="G21" s="15"/>
      <c r="H21" s="15"/>
      <c r="L21" s="31">
        <v>240</v>
      </c>
    </row>
    <row r="22" spans="1:16">
      <c r="A22" s="13" t="s">
        <v>338</v>
      </c>
      <c r="B22" s="14">
        <v>46023</v>
      </c>
      <c r="C22" s="13" t="s">
        <v>337</v>
      </c>
      <c r="D22" s="13" t="s">
        <v>197</v>
      </c>
      <c r="E22" s="13">
        <v>17</v>
      </c>
      <c r="F22" s="13" t="s">
        <v>151</v>
      </c>
      <c r="G22" s="15"/>
      <c r="H22" s="15"/>
      <c r="L22" s="31">
        <v>180</v>
      </c>
    </row>
    <row r="23" spans="1:16">
      <c r="A23" s="13" t="s">
        <v>338</v>
      </c>
      <c r="B23" s="14">
        <v>46023</v>
      </c>
      <c r="C23" s="13" t="s">
        <v>337</v>
      </c>
      <c r="D23" s="13" t="s">
        <v>198</v>
      </c>
      <c r="E23" s="13">
        <v>18</v>
      </c>
      <c r="F23" s="13" t="s">
        <v>153</v>
      </c>
      <c r="G23" s="15"/>
      <c r="H23" s="15"/>
      <c r="L23" s="31">
        <v>257.14285714285717</v>
      </c>
    </row>
    <row r="24" spans="1:16">
      <c r="A24" s="13" t="s">
        <v>338</v>
      </c>
      <c r="B24" s="14">
        <v>46023</v>
      </c>
      <c r="C24" s="13" t="s">
        <v>337</v>
      </c>
      <c r="D24" s="13" t="s">
        <v>199</v>
      </c>
      <c r="E24" s="13">
        <v>19</v>
      </c>
      <c r="F24" s="13" t="s">
        <v>155</v>
      </c>
      <c r="G24" s="15"/>
      <c r="H24" s="15"/>
      <c r="L24" s="31">
        <v>400</v>
      </c>
      <c r="M24"/>
      <c r="N24"/>
      <c r="O24"/>
      <c r="P24"/>
    </row>
    <row r="25" spans="1:16">
      <c r="A25" s="13" t="s">
        <v>338</v>
      </c>
      <c r="B25" s="14">
        <v>46023</v>
      </c>
      <c r="C25" s="13" t="s">
        <v>337</v>
      </c>
      <c r="D25" s="13" t="s">
        <v>200</v>
      </c>
      <c r="E25" s="13">
        <v>20</v>
      </c>
      <c r="F25" s="13" t="s">
        <v>157</v>
      </c>
      <c r="G25" s="15"/>
      <c r="H25" s="15"/>
      <c r="L25" s="31">
        <v>36</v>
      </c>
      <c r="M25"/>
      <c r="N25"/>
      <c r="O25"/>
      <c r="P25"/>
    </row>
    <row r="26" spans="1:16">
      <c r="A26" s="13" t="s">
        <v>338</v>
      </c>
      <c r="B26" s="14">
        <v>46023</v>
      </c>
      <c r="C26" s="13" t="s">
        <v>337</v>
      </c>
      <c r="D26" s="13" t="s">
        <v>201</v>
      </c>
      <c r="E26" s="13">
        <v>21</v>
      </c>
      <c r="F26" s="13" t="s">
        <v>159</v>
      </c>
      <c r="G26" s="15"/>
      <c r="H26" s="15"/>
      <c r="L26" s="31">
        <v>120</v>
      </c>
      <c r="M26"/>
      <c r="N26"/>
      <c r="O26"/>
      <c r="P26"/>
    </row>
    <row r="27" spans="1:16">
      <c r="A27" s="13" t="s">
        <v>338</v>
      </c>
      <c r="B27" s="14">
        <v>46023</v>
      </c>
      <c r="C27" s="13" t="s">
        <v>337</v>
      </c>
      <c r="D27" s="13" t="s">
        <v>202</v>
      </c>
      <c r="E27" s="13">
        <v>22</v>
      </c>
      <c r="F27" s="13" t="s">
        <v>161</v>
      </c>
      <c r="G27" s="15"/>
      <c r="H27" s="15"/>
      <c r="L27" s="31">
        <v>200</v>
      </c>
      <c r="M27"/>
      <c r="N27"/>
      <c r="O27"/>
      <c r="P27"/>
    </row>
    <row r="28" spans="1:16">
      <c r="A28" s="13" t="s">
        <v>338</v>
      </c>
      <c r="B28" s="14">
        <v>46023</v>
      </c>
      <c r="C28" s="13" t="s">
        <v>337</v>
      </c>
      <c r="D28" s="13" t="s">
        <v>203</v>
      </c>
      <c r="E28" s="13">
        <v>23</v>
      </c>
      <c r="F28" s="13" t="s">
        <v>163</v>
      </c>
      <c r="G28" s="15"/>
      <c r="H28" s="15"/>
      <c r="L28" s="31">
        <v>60</v>
      </c>
      <c r="M28"/>
      <c r="N28"/>
      <c r="O28"/>
      <c r="P28"/>
    </row>
    <row r="29" spans="1:16">
      <c r="A29" s="13" t="s">
        <v>338</v>
      </c>
      <c r="B29" s="14">
        <v>46023</v>
      </c>
      <c r="C29" s="13" t="s">
        <v>337</v>
      </c>
      <c r="D29" s="13" t="s">
        <v>204</v>
      </c>
      <c r="E29" s="13">
        <v>24</v>
      </c>
      <c r="F29" s="13" t="s">
        <v>165</v>
      </c>
      <c r="G29" s="15"/>
      <c r="H29" s="15"/>
      <c r="L29" s="31">
        <v>120</v>
      </c>
      <c r="M29"/>
      <c r="N29"/>
      <c r="O29"/>
      <c r="P29"/>
    </row>
    <row r="30" spans="1:16">
      <c r="A30" s="13" t="s">
        <v>338</v>
      </c>
      <c r="B30" s="14">
        <v>46023</v>
      </c>
      <c r="C30" s="13" t="s">
        <v>337</v>
      </c>
      <c r="D30" s="13" t="s">
        <v>205</v>
      </c>
      <c r="E30" s="13">
        <v>25</v>
      </c>
      <c r="F30" s="13" t="s">
        <v>167</v>
      </c>
      <c r="G30" s="15"/>
      <c r="H30" s="15"/>
      <c r="L30" s="31">
        <v>120</v>
      </c>
      <c r="M30"/>
      <c r="N30"/>
      <c r="O30"/>
      <c r="P30"/>
    </row>
    <row r="31" spans="1:16">
      <c r="A31" s="13" t="s">
        <v>338</v>
      </c>
      <c r="B31" s="14">
        <v>46023</v>
      </c>
      <c r="C31" s="13" t="s">
        <v>337</v>
      </c>
      <c r="D31" s="13" t="s">
        <v>206</v>
      </c>
      <c r="E31" s="13">
        <v>26</v>
      </c>
      <c r="F31" s="13" t="s">
        <v>169</v>
      </c>
      <c r="G31" s="15"/>
      <c r="H31" s="15"/>
      <c r="L31" s="31">
        <v>120</v>
      </c>
      <c r="M31"/>
      <c r="N31"/>
      <c r="O31"/>
      <c r="P31"/>
    </row>
    <row r="32" spans="1:16">
      <c r="A32" s="13" t="s">
        <v>338</v>
      </c>
      <c r="B32" s="14">
        <v>46023</v>
      </c>
      <c r="C32" s="13" t="s">
        <v>337</v>
      </c>
      <c r="D32" s="13" t="s">
        <v>207</v>
      </c>
      <c r="E32" s="13">
        <v>27</v>
      </c>
      <c r="F32" s="13" t="s">
        <v>171</v>
      </c>
      <c r="G32" s="15"/>
      <c r="H32" s="15"/>
      <c r="L32" s="31">
        <v>120</v>
      </c>
      <c r="M32"/>
      <c r="N32"/>
      <c r="O32"/>
      <c r="P32"/>
    </row>
    <row r="33" spans="1:16">
      <c r="A33" s="13" t="s">
        <v>332</v>
      </c>
      <c r="B33" s="14">
        <v>46034</v>
      </c>
      <c r="C33" s="13" t="s">
        <v>231</v>
      </c>
      <c r="D33" s="13" t="s">
        <v>182</v>
      </c>
      <c r="F33" s="13" t="s">
        <v>314</v>
      </c>
      <c r="G33" s="15">
        <v>0.35416666666666669</v>
      </c>
      <c r="H33" s="15">
        <v>0.55208333333333337</v>
      </c>
      <c r="I33" s="13">
        <v>400</v>
      </c>
      <c r="J33" s="16">
        <f>(H33-G33)*24</f>
        <v>4.75</v>
      </c>
      <c r="K33" s="16">
        <f>IF(AND(G33&lt;0.4549,H33&gt;0.4688),J33-0.5,J33)</f>
        <v>4.25</v>
      </c>
      <c r="L33" s="18">
        <f>I33/K33</f>
        <v>94.117647058823536</v>
      </c>
      <c r="M33"/>
      <c r="N33"/>
      <c r="O33"/>
      <c r="P33"/>
    </row>
    <row r="34" spans="1:16">
      <c r="A34" s="13" t="s">
        <v>332</v>
      </c>
      <c r="B34" s="14">
        <v>46034</v>
      </c>
      <c r="C34" s="13" t="s">
        <v>231</v>
      </c>
      <c r="D34" s="13" t="s">
        <v>191</v>
      </c>
      <c r="F34" s="13" t="s">
        <v>316</v>
      </c>
      <c r="G34" s="15">
        <v>0.55208333333333337</v>
      </c>
      <c r="H34" s="15">
        <v>0.59722222222222221</v>
      </c>
      <c r="I34" s="13">
        <v>170</v>
      </c>
      <c r="J34" s="16">
        <f>(H34-G34)*24</f>
        <v>1.0833333333333321</v>
      </c>
      <c r="K34" s="16">
        <f>IF(AND(G34&lt;0.4549,H34&gt;0.4688),J34-0.5,J34)</f>
        <v>1.0833333333333321</v>
      </c>
      <c r="L34" s="18">
        <f>I34/K34</f>
        <v>156.9230769230771</v>
      </c>
      <c r="M34"/>
      <c r="N34"/>
      <c r="O34"/>
      <c r="P34"/>
    </row>
    <row r="35" spans="1:16">
      <c r="A35" s="13" t="s">
        <v>332</v>
      </c>
      <c r="B35" s="14">
        <v>46034</v>
      </c>
      <c r="C35" s="13" t="s">
        <v>231</v>
      </c>
      <c r="D35" s="13" t="s">
        <v>192</v>
      </c>
      <c r="F35" s="13" t="s">
        <v>317</v>
      </c>
      <c r="G35" s="15">
        <v>0.59722222222222221</v>
      </c>
      <c r="H35" s="15">
        <v>0.72916666666666663</v>
      </c>
      <c r="I35" s="13">
        <v>223</v>
      </c>
      <c r="J35" s="16">
        <f>(H35-G35)*24</f>
        <v>3.1666666666666661</v>
      </c>
      <c r="K35" s="16">
        <f>IF(AND(G35&lt;0.4549,H35&gt;0.4688),J35-0.5,J35)</f>
        <v>3.1666666666666661</v>
      </c>
      <c r="L35" s="18">
        <f>I35/K35</f>
        <v>70.421052631578959</v>
      </c>
      <c r="M35"/>
      <c r="N35"/>
      <c r="O35"/>
      <c r="P35"/>
    </row>
    <row r="36" spans="1:16">
      <c r="A36" s="13" t="s">
        <v>332</v>
      </c>
      <c r="B36" s="14">
        <v>46034</v>
      </c>
      <c r="C36" s="13" t="s">
        <v>305</v>
      </c>
      <c r="D36" s="13" t="s">
        <v>181</v>
      </c>
      <c r="F36" s="13" t="s">
        <v>314</v>
      </c>
      <c r="G36" s="15">
        <v>0.39583333333333331</v>
      </c>
      <c r="H36" s="15">
        <v>0.4375</v>
      </c>
      <c r="I36" s="13">
        <v>400</v>
      </c>
      <c r="J36" s="16">
        <f>(H36-G36)*24</f>
        <v>1.0000000000000004</v>
      </c>
      <c r="K36" s="16">
        <f>IF(AND(G36&lt;0.4549,H36&gt;0.4688),J36-0.5,J36)</f>
        <v>1.0000000000000004</v>
      </c>
      <c r="L36" s="18">
        <f>I36/K36</f>
        <v>399.99999999999983</v>
      </c>
      <c r="M36"/>
      <c r="N36"/>
      <c r="O36"/>
      <c r="P36"/>
    </row>
    <row r="37" spans="1:16">
      <c r="A37" s="13" t="s">
        <v>332</v>
      </c>
      <c r="B37" s="14">
        <v>46034</v>
      </c>
      <c r="C37" s="13" t="s">
        <v>305</v>
      </c>
      <c r="D37" s="13" t="s">
        <v>187</v>
      </c>
      <c r="F37" s="13" t="s">
        <v>313</v>
      </c>
      <c r="G37" s="15">
        <v>0.44444444444444442</v>
      </c>
      <c r="H37" s="15">
        <v>0.64583333333333337</v>
      </c>
      <c r="I37" s="13">
        <v>158</v>
      </c>
      <c r="J37" s="16">
        <f>(H37-G37)*24</f>
        <v>4.8333333333333348</v>
      </c>
      <c r="K37" s="16">
        <f>IF(AND(G37&lt;0.4549,H37&gt;0.4688),J37-0.5,J37)</f>
        <v>4.3333333333333348</v>
      </c>
      <c r="L37" s="18">
        <f>I37/K37</f>
        <v>36.461538461538446</v>
      </c>
      <c r="M37"/>
      <c r="N37"/>
      <c r="O37"/>
      <c r="P37"/>
    </row>
    <row r="38" spans="1:16">
      <c r="A38" s="13" t="s">
        <v>332</v>
      </c>
      <c r="B38" s="14">
        <v>46034</v>
      </c>
      <c r="C38" s="13" t="s">
        <v>305</v>
      </c>
      <c r="D38" s="13" t="s">
        <v>201</v>
      </c>
      <c r="F38" s="13" t="s">
        <v>308</v>
      </c>
      <c r="G38" s="15">
        <v>0.64930555555555558</v>
      </c>
      <c r="H38" s="15">
        <v>0.70833333333333337</v>
      </c>
      <c r="I38" s="13">
        <v>100</v>
      </c>
      <c r="J38" s="16">
        <f>(H38-G38)*24</f>
        <v>1.416666666666667</v>
      </c>
      <c r="K38" s="16">
        <f>IF(AND(G38&lt;0.4549,H38&gt;0.4688),J38-0.5,J38)</f>
        <v>1.416666666666667</v>
      </c>
      <c r="L38" s="18">
        <f>I38/K38</f>
        <v>70.588235294117638</v>
      </c>
      <c r="M38"/>
      <c r="N38"/>
      <c r="O38"/>
      <c r="P38"/>
    </row>
    <row r="39" spans="1:16">
      <c r="A39" s="13" t="s">
        <v>332</v>
      </c>
      <c r="B39" s="14">
        <v>46034</v>
      </c>
      <c r="C39" s="13" t="s">
        <v>311</v>
      </c>
      <c r="D39" s="13" t="s">
        <v>186</v>
      </c>
      <c r="F39" s="13" t="s">
        <v>309</v>
      </c>
      <c r="G39" s="15">
        <v>0.40625</v>
      </c>
      <c r="H39" s="15">
        <v>0.60763888888888884</v>
      </c>
      <c r="I39" s="13">
        <v>133</v>
      </c>
      <c r="J39" s="16">
        <f>(H39-G39)*24</f>
        <v>4.8333333333333321</v>
      </c>
      <c r="K39" s="16">
        <f>IF(AND(G39&lt;0.4549,H39&gt;0.4688),J39-0.5,J39)</f>
        <v>4.3333333333333321</v>
      </c>
      <c r="L39" s="18">
        <f>I39/K39</f>
        <v>30.692307692307701</v>
      </c>
      <c r="M39"/>
      <c r="N39"/>
      <c r="O39"/>
      <c r="P39"/>
    </row>
    <row r="40" spans="1:16">
      <c r="A40" s="13" t="s">
        <v>332</v>
      </c>
      <c r="B40" s="14">
        <v>46034</v>
      </c>
      <c r="C40" s="13" t="s">
        <v>232</v>
      </c>
      <c r="D40" s="13" t="s">
        <v>188</v>
      </c>
      <c r="F40" s="13" t="s">
        <v>319</v>
      </c>
      <c r="G40" s="15">
        <v>0.19791666666666666</v>
      </c>
      <c r="H40" s="15">
        <v>0.22916666666666666</v>
      </c>
      <c r="I40" s="13">
        <v>22</v>
      </c>
      <c r="J40" s="16">
        <f>(H40-G40)*24</f>
        <v>0.75</v>
      </c>
      <c r="K40" s="16">
        <f>IF(AND(G40&lt;0.4549,H40&gt;0.4688),J40-0.5,J40)</f>
        <v>0.75</v>
      </c>
      <c r="L40" s="18">
        <f>I40/K40</f>
        <v>29.333333333333332</v>
      </c>
      <c r="M40"/>
      <c r="N40"/>
      <c r="O40"/>
      <c r="P40"/>
    </row>
    <row r="41" spans="1:16">
      <c r="A41" s="13" t="s">
        <v>332</v>
      </c>
      <c r="B41" s="14">
        <v>46034</v>
      </c>
      <c r="C41" s="13" t="s">
        <v>232</v>
      </c>
      <c r="D41" s="13" t="s">
        <v>184</v>
      </c>
      <c r="F41" s="13" t="s">
        <v>318</v>
      </c>
      <c r="G41" s="15">
        <v>0.4375</v>
      </c>
      <c r="H41" s="15">
        <v>0.69791666666666663</v>
      </c>
      <c r="I41" s="13">
        <v>345</v>
      </c>
      <c r="J41" s="16">
        <f>(H41-G41)*24</f>
        <v>6.2499999999999991</v>
      </c>
      <c r="K41" s="16">
        <f>IF(AND(G41&lt;0.4549,H41&gt;0.4688),J41-0.5,J41)</f>
        <v>5.7499999999999991</v>
      </c>
      <c r="L41" s="18">
        <f>I41/K41</f>
        <v>60.000000000000007</v>
      </c>
      <c r="M41"/>
      <c r="N41"/>
      <c r="O41"/>
      <c r="P41"/>
    </row>
    <row r="42" spans="1:16">
      <c r="A42" s="13" t="s">
        <v>332</v>
      </c>
      <c r="B42" s="14">
        <v>46034</v>
      </c>
      <c r="C42" s="13" t="s">
        <v>234</v>
      </c>
      <c r="D42" s="13" t="s">
        <v>184</v>
      </c>
      <c r="F42" s="13" t="s">
        <v>318</v>
      </c>
      <c r="G42" s="15">
        <v>0.56944444444444442</v>
      </c>
      <c r="H42" s="15">
        <v>0.70833333333333337</v>
      </c>
      <c r="I42" s="13">
        <v>55</v>
      </c>
      <c r="J42" s="16">
        <f>(H42-G42)*24</f>
        <v>3.3333333333333348</v>
      </c>
      <c r="K42" s="16">
        <f>IF(AND(G42&lt;0.4549,H42&gt;0.4688),J42-0.5,J42)</f>
        <v>3.3333333333333348</v>
      </c>
      <c r="L42" s="18">
        <f>I42/K42</f>
        <v>16.499999999999993</v>
      </c>
      <c r="M42"/>
      <c r="N42"/>
      <c r="O42"/>
      <c r="P42"/>
    </row>
    <row r="43" spans="1:16">
      <c r="A43" s="13" t="s">
        <v>332</v>
      </c>
      <c r="B43" s="14">
        <v>46034</v>
      </c>
      <c r="C43" s="13" t="s">
        <v>234</v>
      </c>
      <c r="D43" s="13" t="s">
        <v>189</v>
      </c>
      <c r="F43" s="13" t="s">
        <v>320</v>
      </c>
      <c r="G43" s="15">
        <v>0.70833333333333337</v>
      </c>
      <c r="H43" s="15">
        <v>0.72916666666666663</v>
      </c>
      <c r="I43" s="13">
        <v>15</v>
      </c>
      <c r="J43" s="16">
        <f>(H43-G43)*24</f>
        <v>0.49999999999999822</v>
      </c>
      <c r="K43" s="16">
        <f>IF(AND(G43&lt;0.4549,H43&gt;0.4688),J43-0.5,J43)</f>
        <v>0.49999999999999822</v>
      </c>
      <c r="L43" s="18">
        <f>I43/K43</f>
        <v>30.000000000000107</v>
      </c>
      <c r="M43"/>
      <c r="N43"/>
      <c r="O43"/>
      <c r="P43"/>
    </row>
    <row r="44" spans="1:16">
      <c r="A44" s="13" t="s">
        <v>332</v>
      </c>
      <c r="B44" s="14">
        <v>46034</v>
      </c>
      <c r="C44" s="13" t="s">
        <v>321</v>
      </c>
      <c r="D44" s="13" t="s">
        <v>185</v>
      </c>
      <c r="F44" s="13" t="s">
        <v>312</v>
      </c>
      <c r="G44" s="15">
        <v>0.35416666666666669</v>
      </c>
      <c r="H44" s="15">
        <v>0.46527777777777779</v>
      </c>
      <c r="I44" s="13">
        <v>400</v>
      </c>
      <c r="J44" s="16">
        <f>(H44-G44)*24</f>
        <v>2.6666666666666665</v>
      </c>
      <c r="K44" s="16">
        <f>IF(AND(G44&lt;0.4549,H44&gt;0.4688),J44-0.5,J44)</f>
        <v>2.6666666666666665</v>
      </c>
      <c r="L44" s="18">
        <f>I44/K44</f>
        <v>150</v>
      </c>
      <c r="M44"/>
      <c r="N44"/>
      <c r="O44"/>
      <c r="P44"/>
    </row>
    <row r="45" spans="1:16">
      <c r="A45" s="13" t="s">
        <v>332</v>
      </c>
      <c r="B45" s="14">
        <v>46034</v>
      </c>
      <c r="C45" s="13" t="s">
        <v>321</v>
      </c>
      <c r="D45" s="13" t="s">
        <v>187</v>
      </c>
      <c r="F45" s="13" t="s">
        <v>313</v>
      </c>
      <c r="G45" s="15">
        <v>0.4826388888888889</v>
      </c>
      <c r="H45" s="15">
        <v>0.63888888888888884</v>
      </c>
      <c r="I45" s="13">
        <v>242</v>
      </c>
      <c r="J45" s="16">
        <f>(H45-G45)*24</f>
        <v>3.7499999999999987</v>
      </c>
      <c r="K45" s="16">
        <f>IF(AND(G45&lt;0.4549,H45&gt;0.4688),J45-0.5,J45)</f>
        <v>3.7499999999999987</v>
      </c>
      <c r="L45" s="18">
        <f>I45/K45</f>
        <v>64.53333333333336</v>
      </c>
      <c r="M45"/>
      <c r="N45"/>
      <c r="O45"/>
      <c r="P45"/>
    </row>
    <row r="46" spans="1:16">
      <c r="A46" s="13" t="s">
        <v>332</v>
      </c>
      <c r="B46" s="14">
        <v>46034</v>
      </c>
      <c r="C46" s="13" t="s">
        <v>321</v>
      </c>
      <c r="D46" s="13" t="s">
        <v>188</v>
      </c>
      <c r="F46" s="13" t="s">
        <v>319</v>
      </c>
      <c r="G46" s="15">
        <v>0.63888888888888884</v>
      </c>
      <c r="H46" s="15">
        <v>0.70138888888888884</v>
      </c>
      <c r="I46" s="13">
        <v>55</v>
      </c>
      <c r="J46" s="16">
        <f>(H46-G46)*24</f>
        <v>1.5</v>
      </c>
      <c r="K46" s="16">
        <f>IF(AND(G46&lt;0.4549,H46&gt;0.4688),J46-0.5,J46)</f>
        <v>1.5</v>
      </c>
      <c r="L46" s="18">
        <f>I46/K46</f>
        <v>36.666666666666664</v>
      </c>
      <c r="M46"/>
      <c r="N46"/>
      <c r="O46"/>
      <c r="P46"/>
    </row>
    <row r="47" spans="1:16">
      <c r="A47" s="13" t="s">
        <v>332</v>
      </c>
      <c r="B47" s="14">
        <v>46034</v>
      </c>
      <c r="C47" s="13" t="s">
        <v>310</v>
      </c>
      <c r="D47" s="13" t="s">
        <v>186</v>
      </c>
      <c r="F47" s="13" t="s">
        <v>309</v>
      </c>
      <c r="G47" s="15">
        <v>0.40625</v>
      </c>
      <c r="H47" s="15">
        <v>0.60763888888888884</v>
      </c>
      <c r="I47" s="13">
        <v>133</v>
      </c>
      <c r="J47" s="16">
        <f>(H47-G47)*24</f>
        <v>4.8333333333333321</v>
      </c>
      <c r="K47" s="16">
        <f>IF(AND(G47&lt;0.4549,H47&gt;0.4688),J47-0.5,J47)</f>
        <v>4.3333333333333321</v>
      </c>
      <c r="L47" s="18">
        <f>I47/K47</f>
        <v>30.692307692307701</v>
      </c>
      <c r="M47"/>
      <c r="N47"/>
      <c r="O47"/>
      <c r="P47"/>
    </row>
    <row r="48" spans="1:16">
      <c r="A48" s="13" t="s">
        <v>332</v>
      </c>
      <c r="B48" s="14">
        <v>46034</v>
      </c>
      <c r="C48" s="13" t="s">
        <v>229</v>
      </c>
      <c r="D48" s="13" t="s">
        <v>191</v>
      </c>
      <c r="F48" s="13" t="s">
        <v>316</v>
      </c>
      <c r="G48" s="15">
        <v>0.4826388888888889</v>
      </c>
      <c r="H48" s="15">
        <v>0.61458333333333337</v>
      </c>
      <c r="I48" s="13">
        <v>230</v>
      </c>
      <c r="J48" s="16">
        <f>(H48-G48)*24</f>
        <v>3.1666666666666674</v>
      </c>
      <c r="K48" s="16">
        <f>IF(AND(G48&lt;0.4549,H48&gt;0.4688),J48-0.5,J48)</f>
        <v>3.1666666666666674</v>
      </c>
      <c r="L48" s="18">
        <f>I48/K48</f>
        <v>72.631578947368411</v>
      </c>
      <c r="M48"/>
      <c r="N48"/>
      <c r="O48"/>
      <c r="P48"/>
    </row>
    <row r="49" spans="1:16">
      <c r="A49" s="13" t="s">
        <v>332</v>
      </c>
      <c r="B49" s="14">
        <v>46034</v>
      </c>
      <c r="C49" s="13" t="s">
        <v>229</v>
      </c>
      <c r="D49" s="13" t="s">
        <v>192</v>
      </c>
      <c r="F49" s="13" t="s">
        <v>317</v>
      </c>
      <c r="G49" s="15">
        <v>0.625</v>
      </c>
      <c r="H49" s="15">
        <v>0.72916666666666663</v>
      </c>
      <c r="I49" s="13">
        <v>177</v>
      </c>
      <c r="J49" s="16">
        <f>(H49-G49)*24</f>
        <v>2.4999999999999991</v>
      </c>
      <c r="K49" s="16">
        <f>IF(AND(G49&lt;0.4549,H49&gt;0.4688),J49-0.5,J49)</f>
        <v>2.4999999999999991</v>
      </c>
      <c r="L49" s="18">
        <f>I49/K49</f>
        <v>70.800000000000026</v>
      </c>
      <c r="M49"/>
      <c r="N49"/>
      <c r="O49"/>
      <c r="P49"/>
    </row>
    <row r="50" spans="1:16">
      <c r="A50" s="13" t="s">
        <v>332</v>
      </c>
      <c r="B50" s="14">
        <v>46034</v>
      </c>
      <c r="C50" s="13" t="s">
        <v>226</v>
      </c>
      <c r="D50" s="13" t="s">
        <v>186</v>
      </c>
      <c r="F50" s="13" t="s">
        <v>309</v>
      </c>
      <c r="G50" s="15">
        <v>0.40625</v>
      </c>
      <c r="H50" s="15">
        <v>0.60763888888888884</v>
      </c>
      <c r="I50" s="13">
        <v>134</v>
      </c>
      <c r="J50" s="16">
        <f>(H50-G50)*24</f>
        <v>4.8333333333333321</v>
      </c>
      <c r="K50" s="16">
        <f>IF(AND(G50&lt;0.4549,H50&gt;0.4688),J50-0.5,J50)</f>
        <v>4.3333333333333321</v>
      </c>
      <c r="L50" s="18">
        <f>I50/K50</f>
        <v>30.92307692307693</v>
      </c>
      <c r="M50"/>
      <c r="N50"/>
      <c r="O50"/>
      <c r="P50"/>
    </row>
    <row r="51" spans="1:16">
      <c r="A51" s="13" t="s">
        <v>332</v>
      </c>
      <c r="B51" s="14">
        <v>46035</v>
      </c>
      <c r="C51" s="13" t="s">
        <v>231</v>
      </c>
      <c r="D51" s="13" t="s">
        <v>193</v>
      </c>
      <c r="F51" s="13" t="s">
        <v>322</v>
      </c>
      <c r="G51" s="15">
        <v>0.25</v>
      </c>
      <c r="H51" s="15">
        <v>0.36805555555555558</v>
      </c>
      <c r="I51" s="13">
        <v>223</v>
      </c>
      <c r="J51" s="16">
        <f>(H51-G51)*24</f>
        <v>2.8333333333333339</v>
      </c>
      <c r="K51" s="16">
        <f>IF(AND(G51&lt;0.4549,H51&gt;0.4688),J51-0.5,J51)</f>
        <v>2.8333333333333339</v>
      </c>
      <c r="L51" s="18">
        <f>I51/K51</f>
        <v>78.70588235294116</v>
      </c>
      <c r="M51"/>
      <c r="N51"/>
      <c r="O51"/>
      <c r="P51"/>
    </row>
    <row r="52" spans="1:16">
      <c r="A52" s="13" t="s">
        <v>332</v>
      </c>
      <c r="B52" s="14">
        <v>46035</v>
      </c>
      <c r="C52" s="13" t="s">
        <v>231</v>
      </c>
      <c r="D52" s="13" t="s">
        <v>197</v>
      </c>
      <c r="F52" s="13" t="s">
        <v>324</v>
      </c>
      <c r="G52" s="15">
        <v>0.36805555555555558</v>
      </c>
      <c r="H52" s="15">
        <v>0.52777777777777779</v>
      </c>
      <c r="I52" s="13">
        <v>200</v>
      </c>
      <c r="J52" s="16">
        <f>(H52-G52)*24</f>
        <v>3.833333333333333</v>
      </c>
      <c r="K52" s="16">
        <f>IF(AND(G52&lt;0.4549,H52&gt;0.4688),J52-0.5,J52)</f>
        <v>3.333333333333333</v>
      </c>
      <c r="L52" s="18">
        <f>I52/K52</f>
        <v>60.000000000000007</v>
      </c>
      <c r="M52"/>
      <c r="N52"/>
      <c r="O52"/>
      <c r="P52"/>
    </row>
    <row r="53" spans="1:16">
      <c r="A53" s="13" t="s">
        <v>332</v>
      </c>
      <c r="B53" s="14">
        <v>46035</v>
      </c>
      <c r="C53" s="13" t="s">
        <v>231</v>
      </c>
      <c r="D53" s="13" t="s">
        <v>195</v>
      </c>
      <c r="F53" s="13" t="s">
        <v>323</v>
      </c>
      <c r="G53" s="15">
        <v>0.52777777777777779</v>
      </c>
      <c r="H53" s="15">
        <v>0.61597222222222225</v>
      </c>
      <c r="I53" s="13">
        <v>175</v>
      </c>
      <c r="J53" s="16">
        <f>(H53-G53)*24</f>
        <v>2.1166666666666671</v>
      </c>
      <c r="K53" s="16">
        <f>IF(AND(G53&lt;0.4549,H53&gt;0.4688),J53-0.5,J53)</f>
        <v>2.1166666666666671</v>
      </c>
      <c r="L53" s="18">
        <f>I53/K53</f>
        <v>82.677165354330697</v>
      </c>
      <c r="M53"/>
      <c r="N53"/>
      <c r="O53"/>
      <c r="P53"/>
    </row>
    <row r="54" spans="1:16">
      <c r="A54" s="13" t="s">
        <v>332</v>
      </c>
      <c r="B54" s="14">
        <v>46035</v>
      </c>
      <c r="C54" s="13" t="s">
        <v>231</v>
      </c>
      <c r="D54" s="13" t="s">
        <v>199</v>
      </c>
      <c r="F54" s="13" t="s">
        <v>325</v>
      </c>
      <c r="G54" s="15">
        <v>0.61597222222222225</v>
      </c>
      <c r="H54" s="15">
        <v>0.6875</v>
      </c>
      <c r="I54" s="13">
        <v>100</v>
      </c>
      <c r="J54" s="16">
        <f>(H54-G54)*24</f>
        <v>1.7166666666666659</v>
      </c>
      <c r="K54" s="16">
        <f>IF(AND(G54&lt;0.4549,H54&gt;0.4688),J54-0.5,J54)</f>
        <v>1.7166666666666659</v>
      </c>
      <c r="L54" s="18">
        <f>I54/K54</f>
        <v>58.252427184466043</v>
      </c>
      <c r="M54"/>
      <c r="N54"/>
      <c r="O54"/>
      <c r="P54"/>
    </row>
    <row r="55" spans="1:16">
      <c r="A55" s="13" t="s">
        <v>332</v>
      </c>
      <c r="B55" s="14">
        <v>46035</v>
      </c>
      <c r="C55" s="13" t="s">
        <v>305</v>
      </c>
      <c r="D55" s="13" t="s">
        <v>200</v>
      </c>
      <c r="F55" s="13" t="s">
        <v>307</v>
      </c>
      <c r="G55" s="15">
        <v>0.25</v>
      </c>
      <c r="H55" s="15">
        <v>0.60763888888888884</v>
      </c>
      <c r="I55" s="13">
        <v>300</v>
      </c>
      <c r="J55" s="16">
        <f>(H55-G55)*24</f>
        <v>8.5833333333333321</v>
      </c>
      <c r="K55" s="16">
        <f>IF(AND(G55&lt;0.4549,H55&gt;0.4688),J55-0.5,J55)</f>
        <v>8.0833333333333321</v>
      </c>
      <c r="L55" s="18">
        <f>I55/K55</f>
        <v>37.113402061855673</v>
      </c>
      <c r="M55"/>
      <c r="N55"/>
      <c r="O55"/>
      <c r="P55"/>
    </row>
    <row r="56" spans="1:16">
      <c r="A56" s="13" t="s">
        <v>332</v>
      </c>
      <c r="B56" s="14">
        <v>46035</v>
      </c>
      <c r="C56" s="13" t="s">
        <v>305</v>
      </c>
      <c r="D56" s="13" t="s">
        <v>198</v>
      </c>
      <c r="F56" s="13" t="s">
        <v>326</v>
      </c>
      <c r="G56" s="15">
        <v>0.61458333333333337</v>
      </c>
      <c r="H56" s="15">
        <v>0.6875</v>
      </c>
      <c r="I56" s="13">
        <v>123</v>
      </c>
      <c r="J56" s="16">
        <f>(H56-G56)*24</f>
        <v>1.7499999999999991</v>
      </c>
      <c r="K56" s="16">
        <f>IF(AND(G56&lt;0.4549,H56&gt;0.4688),J56-0.5,J56)</f>
        <v>1.7499999999999991</v>
      </c>
      <c r="L56" s="18">
        <f>I56/K56</f>
        <v>70.28571428571432</v>
      </c>
      <c r="M56"/>
      <c r="N56"/>
      <c r="O56"/>
      <c r="P56"/>
    </row>
    <row r="57" spans="1:16">
      <c r="A57" s="13" t="s">
        <v>332</v>
      </c>
      <c r="B57" s="14">
        <v>46035</v>
      </c>
      <c r="C57" s="13" t="s">
        <v>232</v>
      </c>
      <c r="D57" s="13" t="s">
        <v>189</v>
      </c>
      <c r="F57" s="13" t="s">
        <v>320</v>
      </c>
      <c r="G57" s="15">
        <v>0.25</v>
      </c>
      <c r="H57" s="15">
        <v>0.3923611111111111</v>
      </c>
      <c r="I57" s="13">
        <v>160</v>
      </c>
      <c r="J57" s="16">
        <f>(H57-G57)*24</f>
        <v>3.4166666666666665</v>
      </c>
      <c r="K57" s="16">
        <f>IF(AND(G57&lt;0.4549,H57&gt;0.4688),J57-0.5,J57)</f>
        <v>3.4166666666666665</v>
      </c>
      <c r="L57" s="18">
        <f>I57/K57</f>
        <v>46.829268292682926</v>
      </c>
    </row>
    <row r="58" spans="1:16">
      <c r="A58" s="13" t="s">
        <v>332</v>
      </c>
      <c r="B58" s="14">
        <v>46035</v>
      </c>
      <c r="C58" s="13" t="s">
        <v>232</v>
      </c>
      <c r="D58" s="13" t="s">
        <v>188</v>
      </c>
      <c r="F58" s="13" t="s">
        <v>319</v>
      </c>
      <c r="G58" s="15">
        <v>0.39583333333333331</v>
      </c>
      <c r="H58" s="15">
        <v>0.48958333333333331</v>
      </c>
      <c r="I58" s="13">
        <v>120</v>
      </c>
      <c r="J58" s="16">
        <f>(H58-G58)*24</f>
        <v>2.25</v>
      </c>
      <c r="K58" s="16">
        <f>IF(AND(G58&lt;0.4549,H58&gt;0.4688),J58-0.5,J58)</f>
        <v>1.75</v>
      </c>
      <c r="L58" s="18">
        <f>I58/K58</f>
        <v>68.571428571428569</v>
      </c>
    </row>
    <row r="59" spans="1:16">
      <c r="A59" s="13" t="s">
        <v>332</v>
      </c>
      <c r="B59" s="14">
        <v>46035</v>
      </c>
      <c r="C59" s="13" t="s">
        <v>232</v>
      </c>
      <c r="D59" s="13" t="s">
        <v>190</v>
      </c>
      <c r="F59" s="13" t="s">
        <v>327</v>
      </c>
      <c r="G59" s="15">
        <v>0.48958333333333331</v>
      </c>
      <c r="H59" s="15">
        <v>0.58333333333333337</v>
      </c>
      <c r="I59" s="13">
        <v>100</v>
      </c>
      <c r="J59" s="16">
        <f>(H59-G59)*24</f>
        <v>2.2500000000000013</v>
      </c>
      <c r="K59" s="16">
        <f>IF(AND(G59&lt;0.4549,H59&gt;0.4688),J59-0.5,J59)</f>
        <v>2.2500000000000013</v>
      </c>
      <c r="L59" s="18">
        <f>I59/K59</f>
        <v>44.444444444444422</v>
      </c>
    </row>
    <row r="60" spans="1:16">
      <c r="A60" s="13" t="s">
        <v>332</v>
      </c>
      <c r="B60" s="14">
        <v>46035</v>
      </c>
      <c r="C60" s="13" t="s">
        <v>232</v>
      </c>
      <c r="D60" s="13" t="s">
        <v>193</v>
      </c>
      <c r="F60" s="13" t="s">
        <v>322</v>
      </c>
      <c r="G60" s="15">
        <v>0.58333333333333337</v>
      </c>
      <c r="H60" s="15">
        <v>0.61944444444444446</v>
      </c>
      <c r="I60" s="13">
        <v>110</v>
      </c>
      <c r="J60" s="16">
        <f>(H60-G60)*24</f>
        <v>0.86666666666666625</v>
      </c>
      <c r="K60" s="16">
        <f>IF(AND(G60&lt;0.4549,H60&gt;0.4688),J60-0.5,J60)</f>
        <v>0.86666666666666625</v>
      </c>
      <c r="L60" s="18">
        <f>I60/K60</f>
        <v>126.92307692307699</v>
      </c>
    </row>
    <row r="61" spans="1:16">
      <c r="A61" s="13" t="s">
        <v>332</v>
      </c>
      <c r="B61" s="14">
        <v>46035</v>
      </c>
      <c r="C61" s="13" t="s">
        <v>232</v>
      </c>
      <c r="D61" s="13" t="s">
        <v>199</v>
      </c>
      <c r="F61" s="13" t="s">
        <v>325</v>
      </c>
      <c r="G61" s="15">
        <v>0.65555555555555556</v>
      </c>
      <c r="H61" s="15">
        <v>0.6875</v>
      </c>
      <c r="I61" s="13">
        <v>75</v>
      </c>
      <c r="J61" s="16">
        <f>(H61-G61)*24</f>
        <v>0.76666666666666661</v>
      </c>
      <c r="K61" s="16">
        <f>IF(AND(G61&lt;0.4549,H61&gt;0.4688),J61-0.5,J61)</f>
        <v>0.76666666666666661</v>
      </c>
      <c r="L61" s="18">
        <f>I61/K61</f>
        <v>97.826086956521749</v>
      </c>
    </row>
    <row r="62" spans="1:16">
      <c r="A62" s="13" t="s">
        <v>332</v>
      </c>
      <c r="B62" s="14">
        <v>46035</v>
      </c>
      <c r="C62" s="13" t="s">
        <v>234</v>
      </c>
      <c r="D62" s="13" t="s">
        <v>188</v>
      </c>
      <c r="F62" s="13" t="s">
        <v>319</v>
      </c>
      <c r="G62" s="15">
        <v>0.25</v>
      </c>
      <c r="H62" s="15">
        <v>0.34722222222222221</v>
      </c>
      <c r="I62" s="13">
        <v>116</v>
      </c>
      <c r="J62" s="16">
        <f>(H62-G62)*24</f>
        <v>2.333333333333333</v>
      </c>
      <c r="K62" s="16">
        <f>IF(AND(G62&lt;0.4549,H62&gt;0.4688),J62-0.5,J62)</f>
        <v>2.333333333333333</v>
      </c>
      <c r="L62" s="18">
        <f>I62/K62</f>
        <v>49.714285714285722</v>
      </c>
    </row>
    <row r="63" spans="1:16">
      <c r="A63" s="13" t="s">
        <v>332</v>
      </c>
      <c r="B63" s="14">
        <v>46035</v>
      </c>
      <c r="C63" s="13" t="s">
        <v>234</v>
      </c>
      <c r="D63" s="13" t="s">
        <v>202</v>
      </c>
      <c r="F63" s="13" t="s">
        <v>328</v>
      </c>
      <c r="G63" s="15">
        <v>0.34722222222222221</v>
      </c>
      <c r="H63" s="15">
        <v>0.6875</v>
      </c>
      <c r="I63" s="13">
        <v>196</v>
      </c>
      <c r="J63" s="16">
        <f>(H63-G63)*24</f>
        <v>8.1666666666666679</v>
      </c>
      <c r="K63" s="16">
        <f>IF(AND(G63&lt;0.4549,H63&gt;0.4688),J63-0.5,J63)</f>
        <v>7.6666666666666679</v>
      </c>
      <c r="L63" s="18">
        <f>I63/K63</f>
        <v>25.565217391304344</v>
      </c>
    </row>
    <row r="64" spans="1:16">
      <c r="A64" s="13" t="s">
        <v>332</v>
      </c>
      <c r="B64" s="14">
        <v>46035</v>
      </c>
      <c r="C64" s="13" t="s">
        <v>321</v>
      </c>
      <c r="D64" s="13" t="s">
        <v>189</v>
      </c>
      <c r="F64" s="13" t="s">
        <v>320</v>
      </c>
      <c r="G64" s="15">
        <v>0.25</v>
      </c>
      <c r="H64" s="15">
        <v>0.375</v>
      </c>
      <c r="I64" s="13">
        <v>192</v>
      </c>
      <c r="J64" s="16">
        <f>(H64-G64)*24</f>
        <v>3</v>
      </c>
      <c r="K64" s="16">
        <f>IF(AND(G64&lt;0.4549,H64&gt;0.4688),J64-0.5,J64)</f>
        <v>3</v>
      </c>
      <c r="L64" s="18">
        <f>I64/K64</f>
        <v>64</v>
      </c>
    </row>
    <row r="65" spans="1:12">
      <c r="A65" s="13" t="s">
        <v>332</v>
      </c>
      <c r="B65" s="14">
        <v>46035</v>
      </c>
      <c r="C65" s="13" t="s">
        <v>321</v>
      </c>
      <c r="D65" s="13" t="s">
        <v>188</v>
      </c>
      <c r="F65" s="13" t="s">
        <v>319</v>
      </c>
      <c r="G65" s="15">
        <v>0.375</v>
      </c>
      <c r="H65" s="15">
        <v>0.49305555555555558</v>
      </c>
      <c r="I65" s="13">
        <v>165</v>
      </c>
      <c r="J65" s="16">
        <f>(H65-G65)*24</f>
        <v>2.8333333333333339</v>
      </c>
      <c r="K65" s="16">
        <f>IF(AND(G65&lt;0.4549,H65&gt;0.4688),J65-0.5,J65)</f>
        <v>2.3333333333333339</v>
      </c>
      <c r="L65" s="18">
        <f>I65/K65</f>
        <v>70.714285714285694</v>
      </c>
    </row>
    <row r="66" spans="1:12">
      <c r="A66" s="13" t="s">
        <v>332</v>
      </c>
      <c r="B66" s="14">
        <v>46035</v>
      </c>
      <c r="C66" s="13" t="s">
        <v>321</v>
      </c>
      <c r="D66" s="13" t="s">
        <v>203</v>
      </c>
      <c r="F66" s="13" t="s">
        <v>329</v>
      </c>
      <c r="G66" s="15">
        <v>0.49305555555555558</v>
      </c>
      <c r="H66" s="15">
        <v>0.60416666666666663</v>
      </c>
      <c r="I66" s="13">
        <v>177</v>
      </c>
      <c r="J66" s="16">
        <f>(H66-G66)*24</f>
        <v>2.6666666666666652</v>
      </c>
      <c r="K66" s="16">
        <f>IF(AND(G66&lt;0.4549,H66&gt;0.4688),J66-0.5,J66)</f>
        <v>2.6666666666666652</v>
      </c>
      <c r="L66" s="18">
        <f>I66/K66</f>
        <v>66.375000000000043</v>
      </c>
    </row>
    <row r="67" spans="1:12">
      <c r="A67" s="13" t="s">
        <v>332</v>
      </c>
      <c r="B67" s="14">
        <v>46035</v>
      </c>
      <c r="C67" s="13" t="s">
        <v>321</v>
      </c>
      <c r="D67" s="13" t="s">
        <v>199</v>
      </c>
      <c r="F67" s="13" t="s">
        <v>325</v>
      </c>
      <c r="G67" s="15">
        <v>0.61111111111111116</v>
      </c>
      <c r="H67" s="15">
        <v>0.6875</v>
      </c>
      <c r="I67" s="13">
        <v>160</v>
      </c>
      <c r="J67" s="16">
        <f>(H67-G67)*24</f>
        <v>1.8333333333333321</v>
      </c>
      <c r="K67" s="16">
        <f>IF(AND(G67&lt;0.4549,H67&gt;0.4688),J67-0.5,J67)</f>
        <v>1.8333333333333321</v>
      </c>
      <c r="L67" s="18">
        <f>I67/K67</f>
        <v>87.272727272727323</v>
      </c>
    </row>
    <row r="68" spans="1:12">
      <c r="A68" s="13" t="s">
        <v>332</v>
      </c>
      <c r="B68" s="14">
        <v>46035</v>
      </c>
      <c r="C68" s="13" t="s">
        <v>229</v>
      </c>
      <c r="D68" s="13" t="s">
        <v>193</v>
      </c>
      <c r="F68" s="13" t="s">
        <v>322</v>
      </c>
      <c r="G68" s="15">
        <v>0.25</v>
      </c>
      <c r="H68" s="15">
        <v>0.36805555555555558</v>
      </c>
      <c r="I68" s="13">
        <v>177</v>
      </c>
      <c r="J68" s="16">
        <f>(H68-G68)*24</f>
        <v>2.8333333333333339</v>
      </c>
      <c r="K68" s="16">
        <f>IF(AND(G68&lt;0.4549,H68&gt;0.4688),J68-0.5,J68)</f>
        <v>2.8333333333333339</v>
      </c>
      <c r="L68" s="18">
        <f>I68/K68</f>
        <v>62.470588235294102</v>
      </c>
    </row>
    <row r="69" spans="1:12">
      <c r="A69" s="13" t="s">
        <v>332</v>
      </c>
      <c r="B69" s="14">
        <v>46035</v>
      </c>
      <c r="C69" s="13" t="s">
        <v>229</v>
      </c>
      <c r="D69" s="13" t="s">
        <v>197</v>
      </c>
      <c r="F69" s="13" t="s">
        <v>324</v>
      </c>
      <c r="G69" s="15">
        <v>0.375</v>
      </c>
      <c r="H69" s="15">
        <v>0.54166666666666663</v>
      </c>
      <c r="I69" s="13">
        <v>200</v>
      </c>
      <c r="J69" s="16">
        <f>(H69-G69)*24</f>
        <v>3.9999999999999991</v>
      </c>
      <c r="K69" s="16">
        <f>IF(AND(G69&lt;0.4549,H69&gt;0.4688),J69-0.5,J69)</f>
        <v>3.4999999999999991</v>
      </c>
      <c r="L69" s="18">
        <f>I69/K69</f>
        <v>57.14285714285716</v>
      </c>
    </row>
    <row r="70" spans="1:12">
      <c r="A70" s="13" t="s">
        <v>332</v>
      </c>
      <c r="B70" s="14">
        <v>46035</v>
      </c>
      <c r="C70" s="13" t="s">
        <v>229</v>
      </c>
      <c r="D70" s="13" t="s">
        <v>195</v>
      </c>
      <c r="F70" s="13" t="s">
        <v>323</v>
      </c>
      <c r="G70" s="15">
        <v>0.54166666666666663</v>
      </c>
      <c r="H70" s="15">
        <v>0.61111111111111116</v>
      </c>
      <c r="I70" s="13">
        <v>115</v>
      </c>
      <c r="J70" s="16">
        <f>(H70-G70)*24</f>
        <v>1.6666666666666687</v>
      </c>
      <c r="K70" s="16">
        <f>IF(AND(G70&lt;0.4549,H70&gt;0.4688),J70-0.5,J70)</f>
        <v>1.6666666666666687</v>
      </c>
      <c r="L70" s="18">
        <f>I70/K70</f>
        <v>68.999999999999915</v>
      </c>
    </row>
    <row r="71" spans="1:12">
      <c r="A71" s="13" t="s">
        <v>332</v>
      </c>
      <c r="B71" s="14">
        <v>46035</v>
      </c>
      <c r="C71" s="13" t="s">
        <v>229</v>
      </c>
      <c r="D71" s="13" t="s">
        <v>198</v>
      </c>
      <c r="F71" s="13" t="s">
        <v>326</v>
      </c>
      <c r="G71" s="15">
        <v>0.61458333333333337</v>
      </c>
      <c r="H71" s="15">
        <v>0.6875</v>
      </c>
      <c r="I71" s="13">
        <v>235</v>
      </c>
      <c r="J71" s="16">
        <f>(H71-G71)*24</f>
        <v>1.7499999999999991</v>
      </c>
      <c r="K71" s="16">
        <f>IF(AND(G71&lt;0.4549,H71&gt;0.4688),J71-0.5,J71)</f>
        <v>1.7499999999999991</v>
      </c>
      <c r="L71" s="18">
        <f>I71/K71</f>
        <v>134.28571428571436</v>
      </c>
    </row>
    <row r="72" spans="1:12">
      <c r="A72" s="13" t="s">
        <v>332</v>
      </c>
      <c r="B72" s="14">
        <v>46035</v>
      </c>
      <c r="C72" s="13" t="s">
        <v>226</v>
      </c>
      <c r="D72" s="13" t="s">
        <v>190</v>
      </c>
      <c r="F72" s="13" t="s">
        <v>327</v>
      </c>
      <c r="G72" s="15">
        <v>0.52083333333333337</v>
      </c>
      <c r="H72" s="15">
        <v>0.64583333333333337</v>
      </c>
      <c r="I72" s="13">
        <v>150</v>
      </c>
      <c r="J72" s="16">
        <f>(H72-G72)*24</f>
        <v>3</v>
      </c>
      <c r="K72" s="16">
        <f>IF(AND(G72&lt;0.4549,H72&gt;0.4688),J72-0.5,J72)</f>
        <v>3</v>
      </c>
      <c r="L72" s="18">
        <f>I72/K72</f>
        <v>50</v>
      </c>
    </row>
    <row r="73" spans="1:12">
      <c r="A73" s="13" t="s">
        <v>332</v>
      </c>
      <c r="B73" s="14">
        <v>46035</v>
      </c>
      <c r="C73" s="13" t="s">
        <v>225</v>
      </c>
      <c r="D73" s="13" t="s">
        <v>194</v>
      </c>
      <c r="F73" s="13" t="s">
        <v>330</v>
      </c>
      <c r="G73" s="15">
        <v>0.3263888888888889</v>
      </c>
      <c r="H73" s="15">
        <v>0.52083333333333337</v>
      </c>
      <c r="I73" s="13">
        <v>278</v>
      </c>
      <c r="J73" s="16">
        <f>(H73-G73)*24</f>
        <v>4.6666666666666679</v>
      </c>
      <c r="K73" s="16">
        <f>IF(AND(G73&lt;0.4549,H73&gt;0.4688),J73-0.5,J73)</f>
        <v>4.1666666666666679</v>
      </c>
      <c r="L73" s="18">
        <f>I73/K73</f>
        <v>66.719999999999985</v>
      </c>
    </row>
    <row r="74" spans="1:12">
      <c r="A74" s="13" t="s">
        <v>332</v>
      </c>
      <c r="B74" s="14">
        <v>46035</v>
      </c>
      <c r="C74" s="13" t="s">
        <v>225</v>
      </c>
      <c r="D74" s="13" t="s">
        <v>190</v>
      </c>
      <c r="F74" s="13" t="s">
        <v>327</v>
      </c>
      <c r="G74" s="15">
        <v>0.52083333333333337</v>
      </c>
      <c r="H74" s="15">
        <v>0.64583333333333337</v>
      </c>
      <c r="I74" s="13">
        <v>150</v>
      </c>
      <c r="J74" s="16">
        <f>(H74-G74)*24</f>
        <v>3</v>
      </c>
      <c r="K74" s="16">
        <f>IF(AND(G74&lt;0.4549,H74&gt;0.4688),J74-0.5,J74)</f>
        <v>3</v>
      </c>
      <c r="L74" s="18">
        <f>I74/K74</f>
        <v>50</v>
      </c>
    </row>
    <row r="75" spans="1:12">
      <c r="A75" s="13" t="s">
        <v>333</v>
      </c>
      <c r="B75" s="14">
        <v>46036</v>
      </c>
      <c r="C75" s="13" t="s">
        <v>305</v>
      </c>
      <c r="D75" s="13" t="s">
        <v>200</v>
      </c>
      <c r="E75" s="13">
        <v>20</v>
      </c>
      <c r="F75" s="13" t="s">
        <v>307</v>
      </c>
      <c r="G75" s="15">
        <v>8.3333333333333329E-2</v>
      </c>
      <c r="H75" s="15">
        <v>0.1875</v>
      </c>
      <c r="I75" s="13">
        <v>100</v>
      </c>
      <c r="J75" s="16">
        <f>(H75-G75)*24</f>
        <v>2.5</v>
      </c>
      <c r="K75" s="16">
        <f>IF(AND(G75&lt;0.4549,H75&gt;0.4688),J75-0.5,J75)</f>
        <v>2.5</v>
      </c>
      <c r="L75" s="18">
        <f>I75/K75</f>
        <v>40</v>
      </c>
    </row>
    <row r="76" spans="1:12">
      <c r="A76" s="13" t="s">
        <v>333</v>
      </c>
      <c r="B76" s="14">
        <v>46036</v>
      </c>
      <c r="C76" s="13" t="s">
        <v>305</v>
      </c>
      <c r="D76" s="13" t="s">
        <v>181</v>
      </c>
      <c r="E76" s="13">
        <v>3</v>
      </c>
      <c r="F76" s="13" t="s">
        <v>306</v>
      </c>
      <c r="G76" s="15">
        <v>0.27430555555555558</v>
      </c>
      <c r="H76" s="15">
        <v>0.35416666666666669</v>
      </c>
      <c r="I76" s="13">
        <v>400</v>
      </c>
      <c r="J76" s="16">
        <f>(H76-G76)*24</f>
        <v>1.9166666666666665</v>
      </c>
      <c r="K76" s="16">
        <f>IF(AND(G76&lt;0.4549,H76&gt;0.4688),J76-0.5,J76)</f>
        <v>1.9166666666666665</v>
      </c>
      <c r="L76" s="18">
        <f>I76/K76</f>
        <v>208.69565217391306</v>
      </c>
    </row>
    <row r="77" spans="1:12">
      <c r="A77" s="13" t="s">
        <v>333</v>
      </c>
      <c r="B77" s="14">
        <v>46036</v>
      </c>
      <c r="C77" s="13" t="s">
        <v>305</v>
      </c>
      <c r="D77" s="13" t="s">
        <v>201</v>
      </c>
      <c r="E77" s="13">
        <v>21</v>
      </c>
      <c r="F77" s="13" t="s">
        <v>308</v>
      </c>
      <c r="G77" s="15">
        <v>0.3611111111111111</v>
      </c>
      <c r="H77" s="15">
        <v>0.58333333333333337</v>
      </c>
      <c r="I77" s="13">
        <v>400</v>
      </c>
      <c r="J77" s="16">
        <f>(H77-G77)*24</f>
        <v>5.3333333333333339</v>
      </c>
      <c r="K77" s="16">
        <f>IF(AND(G77&lt;0.4549,H77&gt;0.4688),J77-0.5,J77)</f>
        <v>4.8333333333333339</v>
      </c>
      <c r="L77" s="18">
        <f>I77/K77</f>
        <v>82.75862068965516</v>
      </c>
    </row>
    <row r="78" spans="1:12">
      <c r="A78" s="13" t="s">
        <v>333</v>
      </c>
      <c r="B78" s="14">
        <v>46036</v>
      </c>
      <c r="C78" s="13" t="s">
        <v>311</v>
      </c>
      <c r="D78" s="13" t="s">
        <v>186</v>
      </c>
      <c r="E78" s="13">
        <v>7</v>
      </c>
      <c r="F78" s="13" t="s">
        <v>309</v>
      </c>
      <c r="G78" s="15">
        <v>0.32291666666666669</v>
      </c>
      <c r="H78" s="15">
        <v>0.38541666666666669</v>
      </c>
      <c r="I78" s="13">
        <v>100</v>
      </c>
      <c r="J78" s="16">
        <f>(H78-G78)*24</f>
        <v>1.5</v>
      </c>
      <c r="K78" s="16">
        <f>IF(AND(G78&lt;0.4549,H78&gt;0.4688),J78-0.5,J78)</f>
        <v>1.5</v>
      </c>
      <c r="L78" s="18">
        <f>I78/K78</f>
        <v>66.666666666666671</v>
      </c>
    </row>
    <row r="79" spans="1:12">
      <c r="A79" s="13" t="s">
        <v>333</v>
      </c>
      <c r="B79" s="14">
        <v>46036</v>
      </c>
      <c r="C79" s="13" t="s">
        <v>310</v>
      </c>
      <c r="D79" s="13" t="s">
        <v>186</v>
      </c>
      <c r="E79" s="13">
        <v>7</v>
      </c>
      <c r="F79" s="13" t="s">
        <v>309</v>
      </c>
      <c r="G79" s="15">
        <v>0.32291666666666669</v>
      </c>
      <c r="H79" s="15">
        <v>0.38541666666666669</v>
      </c>
      <c r="I79" s="13">
        <v>100</v>
      </c>
      <c r="J79" s="16">
        <f>(H79-G79)*24</f>
        <v>1.5</v>
      </c>
      <c r="K79" s="16">
        <f>IF(AND(G79&lt;0.4549,H79&gt;0.4688),J79-0.5,J79)</f>
        <v>1.5</v>
      </c>
      <c r="L79" s="18">
        <f>I79/K79</f>
        <v>66.666666666666671</v>
      </c>
    </row>
    <row r="80" spans="1:12">
      <c r="A80" s="13" t="s">
        <v>333</v>
      </c>
      <c r="B80" s="14">
        <v>46036</v>
      </c>
      <c r="C80" s="13" t="s">
        <v>229</v>
      </c>
      <c r="D80" s="13" t="s">
        <v>185</v>
      </c>
      <c r="E80" s="13">
        <v>6</v>
      </c>
      <c r="F80" s="13" t="s">
        <v>312</v>
      </c>
      <c r="G80" s="15">
        <v>0.30208333333333331</v>
      </c>
      <c r="H80" s="15">
        <v>0.32291666666666669</v>
      </c>
      <c r="I80" s="13">
        <v>36</v>
      </c>
      <c r="J80" s="16">
        <f>(H80-G80)*24</f>
        <v>0.50000000000000089</v>
      </c>
      <c r="K80" s="16">
        <f>IF(AND(G80&lt;0.4549,H80&gt;0.4688),J80-0.5,J80)</f>
        <v>0.50000000000000089</v>
      </c>
      <c r="L80" s="18">
        <f>I80/K80</f>
        <v>71.999999999999872</v>
      </c>
    </row>
    <row r="81" spans="1:12">
      <c r="A81" s="13" t="s">
        <v>333</v>
      </c>
      <c r="B81" s="14">
        <v>46036</v>
      </c>
      <c r="C81" s="13" t="s">
        <v>229</v>
      </c>
      <c r="D81" s="13" t="s">
        <v>182</v>
      </c>
      <c r="E81" s="13">
        <v>4</v>
      </c>
      <c r="F81" s="13" t="s">
        <v>314</v>
      </c>
      <c r="G81" s="15">
        <v>0.50694444444444442</v>
      </c>
      <c r="H81" s="15">
        <v>0.68055555555555558</v>
      </c>
      <c r="I81" s="13">
        <v>200</v>
      </c>
      <c r="J81" s="16">
        <f>(H81-G81)*24</f>
        <v>4.1666666666666679</v>
      </c>
      <c r="K81" s="16">
        <f>IF(AND(G81&lt;0.4549,H81&gt;0.4688),J81-0.5,J81)</f>
        <v>4.1666666666666679</v>
      </c>
      <c r="L81" s="18">
        <f>I81/K81</f>
        <v>47.999999999999986</v>
      </c>
    </row>
    <row r="82" spans="1:12">
      <c r="A82" s="13" t="s">
        <v>333</v>
      </c>
      <c r="B82" s="14">
        <v>46036</v>
      </c>
      <c r="C82" s="13" t="s">
        <v>227</v>
      </c>
      <c r="D82" s="13" t="s">
        <v>185</v>
      </c>
      <c r="E82" s="13">
        <v>6</v>
      </c>
      <c r="F82" s="13" t="s">
        <v>312</v>
      </c>
      <c r="G82" s="15">
        <v>0.25</v>
      </c>
      <c r="H82" s="15">
        <v>0.34027777777777779</v>
      </c>
      <c r="I82" s="13">
        <v>364</v>
      </c>
      <c r="J82" s="16">
        <f>(H82-G82)*24</f>
        <v>2.166666666666667</v>
      </c>
      <c r="K82" s="16">
        <f>IF(AND(G82&lt;0.4549,H82&gt;0.4688),J82-0.5,J82)</f>
        <v>2.166666666666667</v>
      </c>
      <c r="L82" s="18">
        <f>I82/K82</f>
        <v>167.99999999999997</v>
      </c>
    </row>
    <row r="83" spans="1:12">
      <c r="A83" s="13" t="s">
        <v>333</v>
      </c>
      <c r="B83" s="14">
        <v>46036</v>
      </c>
      <c r="C83" s="13" t="s">
        <v>227</v>
      </c>
      <c r="D83" s="13" t="s">
        <v>187</v>
      </c>
      <c r="E83" s="13">
        <v>8</v>
      </c>
      <c r="F83" s="13" t="s">
        <v>313</v>
      </c>
      <c r="G83" s="15">
        <v>0.50694444444444442</v>
      </c>
      <c r="H83" s="15">
        <v>0.6875</v>
      </c>
      <c r="I83" s="13">
        <v>382</v>
      </c>
      <c r="J83" s="16">
        <f>(H83-G83)*24</f>
        <v>4.3333333333333339</v>
      </c>
      <c r="K83" s="16">
        <f>IF(AND(G83&lt;0.4549,H83&gt;0.4688),J83-0.5,J83)</f>
        <v>4.3333333333333339</v>
      </c>
      <c r="L83" s="18">
        <f>I83/K83</f>
        <v>88.153846153846146</v>
      </c>
    </row>
    <row r="84" spans="1:12">
      <c r="A84" s="13" t="s">
        <v>333</v>
      </c>
      <c r="B84" s="14">
        <v>46036</v>
      </c>
      <c r="C84" s="13" t="s">
        <v>226</v>
      </c>
      <c r="D84" s="13" t="s">
        <v>186</v>
      </c>
      <c r="E84" s="13">
        <v>7</v>
      </c>
      <c r="F84" s="13" t="s">
        <v>309</v>
      </c>
      <c r="G84" s="15">
        <v>0.32291666666666669</v>
      </c>
      <c r="H84" s="15">
        <v>0.45833333333333331</v>
      </c>
      <c r="I84" s="13">
        <v>200</v>
      </c>
      <c r="J84" s="16">
        <f>(H84-G84)*24</f>
        <v>3.2499999999999991</v>
      </c>
      <c r="K84" s="16">
        <f>IF(AND(G84&lt;0.4549,H84&gt;0.4688),J84-0.5,J84)</f>
        <v>3.2499999999999991</v>
      </c>
      <c r="L84" s="18">
        <f>I84/K84</f>
        <v>61.538461538461554</v>
      </c>
    </row>
    <row r="85" spans="1:12">
      <c r="G85" s="15"/>
      <c r="H85" s="15"/>
    </row>
    <row r="86" spans="1:12">
      <c r="G86" s="15"/>
      <c r="H86" s="15"/>
    </row>
    <row r="87" spans="1:12">
      <c r="G87" s="15"/>
      <c r="H87" s="15"/>
    </row>
    <row r="88" spans="1:12">
      <c r="G88" s="15"/>
      <c r="H88" s="15"/>
    </row>
    <row r="89" spans="1:12">
      <c r="G89" s="15"/>
      <c r="H89" s="15"/>
    </row>
    <row r="90" spans="1:12">
      <c r="G90" s="15"/>
      <c r="H90" s="15"/>
    </row>
    <row r="91" spans="1:12">
      <c r="G91" s="15"/>
      <c r="H91" s="15"/>
    </row>
    <row r="92" spans="1:12">
      <c r="G92" s="15"/>
      <c r="H92" s="15"/>
    </row>
    <row r="93" spans="1:12">
      <c r="G93" s="15"/>
      <c r="H93" s="15"/>
    </row>
    <row r="94" spans="1:12">
      <c r="G94" s="15"/>
      <c r="H94" s="15"/>
    </row>
    <row r="95" spans="1:12">
      <c r="G95" s="15"/>
      <c r="H95" s="15"/>
    </row>
    <row r="96" spans="1:12">
      <c r="G96" s="15"/>
      <c r="H96" s="15"/>
    </row>
    <row r="97" spans="7:8">
      <c r="G97" s="15"/>
      <c r="H97" s="15"/>
    </row>
    <row r="98" spans="7:8">
      <c r="G98" s="15"/>
      <c r="H98" s="15"/>
    </row>
    <row r="99" spans="7:8">
      <c r="G99" s="15"/>
      <c r="H99" s="15"/>
    </row>
    <row r="100" spans="7:8">
      <c r="G100" s="15"/>
      <c r="H100" s="15"/>
    </row>
    <row r="101" spans="7:8">
      <c r="G101" s="15"/>
      <c r="H101" s="15"/>
    </row>
    <row r="102" spans="7:8">
      <c r="G102" s="15"/>
      <c r="H102" s="15"/>
    </row>
    <row r="103" spans="7:8">
      <c r="G103" s="15"/>
      <c r="H103" s="15"/>
    </row>
    <row r="104" spans="7:8">
      <c r="G104" s="15"/>
      <c r="H104" s="15"/>
    </row>
    <row r="105" spans="7:8">
      <c r="G105" s="15"/>
      <c r="H105" s="15"/>
    </row>
    <row r="106" spans="7:8">
      <c r="G106" s="15"/>
      <c r="H106" s="15"/>
    </row>
    <row r="107" spans="7:8">
      <c r="G107" s="15"/>
      <c r="H107" s="15"/>
    </row>
  </sheetData>
  <sortState xmlns:xlrd2="http://schemas.microsoft.com/office/spreadsheetml/2017/richdata2" ref="A2:L84">
    <sortCondition ref="B2:B84"/>
    <sortCondition ref="C2:C84"/>
    <sortCondition ref="G2:G84"/>
    <sortCondition ref="D2:D8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C430-1CD5-0148-990B-AA646F65C0C7}">
  <sheetPr>
    <pageSetUpPr fitToPage="1"/>
  </sheetPr>
  <dimension ref="A1:I32"/>
  <sheetViews>
    <sheetView zoomScale="90" zoomScaleNormal="90" workbookViewId="0">
      <selection activeCell="D7" sqref="D7"/>
    </sheetView>
  </sheetViews>
  <sheetFormatPr baseColWidth="10" defaultRowHeight="15"/>
  <cols>
    <col min="1" max="1" width="17.83203125" style="10" bestFit="1" customWidth="1"/>
    <col min="2" max="2" width="12.5" style="10" bestFit="1" customWidth="1"/>
    <col min="3" max="4" width="10.83203125" style="10"/>
    <col min="5" max="5" width="13.5" style="10" bestFit="1" customWidth="1"/>
    <col min="6" max="6" width="22.83203125" style="10" bestFit="1" customWidth="1"/>
    <col min="7" max="7" width="67.33203125" style="10" bestFit="1" customWidth="1"/>
    <col min="8" max="8" width="11.33203125" style="10" customWidth="1"/>
    <col min="9" max="9" width="11.5" style="10" customWidth="1"/>
    <col min="10" max="16384" width="10.83203125" style="10"/>
  </cols>
  <sheetData>
    <row r="1" spans="1:9" ht="32">
      <c r="A1" s="6" t="s">
        <v>114</v>
      </c>
      <c r="B1" s="7" t="s">
        <v>115</v>
      </c>
      <c r="C1" s="6" t="s">
        <v>116</v>
      </c>
      <c r="D1" s="6" t="s">
        <v>196</v>
      </c>
      <c r="E1" s="6" t="s">
        <v>117</v>
      </c>
      <c r="F1" s="6" t="s">
        <v>118</v>
      </c>
      <c r="G1" s="6" t="s">
        <v>119</v>
      </c>
      <c r="H1" s="8" t="s">
        <v>120</v>
      </c>
      <c r="I1" s="8" t="s">
        <v>121</v>
      </c>
    </row>
    <row r="2" spans="1:9">
      <c r="C2" s="9" t="s">
        <v>179</v>
      </c>
      <c r="D2" s="9">
        <f>'BOM Trsfm'!A3</f>
        <v>1</v>
      </c>
      <c r="E2" s="10" t="str">
        <f>'BOM Trsfm'!B3</f>
        <v>Cutting Dept.</v>
      </c>
      <c r="F2" s="10" t="s">
        <v>213</v>
      </c>
      <c r="G2" s="10" t="str">
        <f>'BOM Trsfm'!D3</f>
        <v>Cut Fabric</v>
      </c>
      <c r="H2" s="10">
        <v>90</v>
      </c>
      <c r="I2" s="10" t="s">
        <v>240</v>
      </c>
    </row>
    <row r="3" spans="1:9">
      <c r="C3" s="9" t="s">
        <v>180</v>
      </c>
      <c r="D3" s="9">
        <f>'BOM Trsfm'!A4</f>
        <v>2</v>
      </c>
      <c r="E3" s="10" t="s">
        <v>9</v>
      </c>
      <c r="F3" s="10" t="s">
        <v>183</v>
      </c>
      <c r="G3" s="10" t="str">
        <f>'BOM Trsfm'!D4</f>
        <v xml:space="preserve"> Cut Velcro</v>
      </c>
      <c r="H3" s="10">
        <v>2</v>
      </c>
      <c r="I3" s="10" t="s">
        <v>244</v>
      </c>
    </row>
    <row r="4" spans="1:9">
      <c r="A4" s="10" t="s">
        <v>179</v>
      </c>
      <c r="B4" s="10" t="s">
        <v>214</v>
      </c>
      <c r="C4" s="9" t="s">
        <v>181</v>
      </c>
      <c r="D4" s="9">
        <f>'BOM Trsfm'!A5</f>
        <v>3</v>
      </c>
      <c r="E4" s="10" t="s">
        <v>212</v>
      </c>
      <c r="F4" s="10" t="s">
        <v>213</v>
      </c>
      <c r="G4" s="10" t="str">
        <f>'BOM Trsfm'!D5</f>
        <v xml:space="preserve"> Sew flag on panel</v>
      </c>
      <c r="H4" s="10">
        <v>7</v>
      </c>
      <c r="I4" s="10" t="s">
        <v>262</v>
      </c>
    </row>
    <row r="5" spans="1:9">
      <c r="A5" s="10" t="s">
        <v>216</v>
      </c>
      <c r="B5" s="10" t="s">
        <v>214</v>
      </c>
      <c r="C5" s="9" t="s">
        <v>182</v>
      </c>
      <c r="D5" s="9">
        <f>'BOM Trsfm'!A6</f>
        <v>4</v>
      </c>
      <c r="E5" s="10" t="str">
        <f>'BOM Trsfm'!B6</f>
        <v>Sewing Dept.</v>
      </c>
      <c r="F5" s="10" t="str">
        <f>'BOM Trsfm'!C6</f>
        <v xml:space="preserve">A1. Small Velcro Pocket </v>
      </c>
      <c r="G5" s="10" t="str">
        <f>'BOM Trsfm'!D6</f>
        <v xml:space="preserve"> Hem short edge</v>
      </c>
      <c r="H5" s="10">
        <v>20</v>
      </c>
      <c r="I5" s="10" t="s">
        <v>262</v>
      </c>
    </row>
    <row r="6" spans="1:9">
      <c r="A6" s="10" t="s">
        <v>182</v>
      </c>
      <c r="B6" s="10" t="s">
        <v>214</v>
      </c>
      <c r="C6" s="9" t="s">
        <v>184</v>
      </c>
      <c r="D6" s="9">
        <f>'BOM Trsfm'!A7</f>
        <v>5</v>
      </c>
      <c r="E6" s="10" t="str">
        <f>'BOM Trsfm'!B7</f>
        <v>Sewing Dept.</v>
      </c>
      <c r="F6" s="10" t="str">
        <f>'BOM Trsfm'!C7</f>
        <v xml:space="preserve">A2. Small Velcro Pocket </v>
      </c>
      <c r="G6" s="10" t="str">
        <f>'BOM Trsfm'!D7</f>
        <v xml:space="preserve"> Sew hook velcro</v>
      </c>
      <c r="H6" s="10">
        <v>25</v>
      </c>
      <c r="I6" s="10" t="s">
        <v>262</v>
      </c>
    </row>
    <row r="7" spans="1:9">
      <c r="A7" s="10" t="s">
        <v>216</v>
      </c>
      <c r="B7" s="10" t="s">
        <v>214</v>
      </c>
      <c r="C7" s="9" t="s">
        <v>185</v>
      </c>
      <c r="D7" s="9">
        <f>'BOM Trsfm'!A8</f>
        <v>6</v>
      </c>
      <c r="E7" s="10" t="str">
        <f>'BOM Trsfm'!B8</f>
        <v>Sewing Dept.</v>
      </c>
      <c r="F7" s="10" t="str">
        <f>'BOM Trsfm'!C8</f>
        <v xml:space="preserve">B1. Connector Strap </v>
      </c>
      <c r="G7" s="10" t="str">
        <f>'BOM Trsfm'!D8</f>
        <v xml:space="preserve"> Sew the panel together along the long sides</v>
      </c>
      <c r="H7" s="10">
        <v>12</v>
      </c>
      <c r="I7" s="10" t="s">
        <v>262</v>
      </c>
    </row>
    <row r="8" spans="1:9">
      <c r="A8" s="10" t="s">
        <v>185</v>
      </c>
      <c r="B8" s="10" t="s">
        <v>215</v>
      </c>
      <c r="C8" s="9" t="s">
        <v>186</v>
      </c>
      <c r="D8" s="9">
        <f>'BOM Trsfm'!A9</f>
        <v>7</v>
      </c>
      <c r="E8" s="10" t="str">
        <f>'BOM Trsfm'!B9</f>
        <v>Sewing Dept.</v>
      </c>
      <c r="F8" s="10" t="str">
        <f>'BOM Trsfm'!C9</f>
        <v xml:space="preserve">B2. Connector Strap </v>
      </c>
      <c r="G8" s="10" t="str">
        <f>'BOM Trsfm'!D9</f>
        <v xml:space="preserve"> Turn inside out</v>
      </c>
      <c r="H8" s="10">
        <v>60</v>
      </c>
      <c r="I8" s="10" t="s">
        <v>276</v>
      </c>
    </row>
    <row r="9" spans="1:9">
      <c r="A9" s="10" t="s">
        <v>186</v>
      </c>
      <c r="B9" s="10" t="s">
        <v>214</v>
      </c>
      <c r="C9" s="9" t="s">
        <v>187</v>
      </c>
      <c r="D9" s="9">
        <f>'BOM Trsfm'!A10</f>
        <v>8</v>
      </c>
      <c r="E9" s="10" t="str">
        <f>'BOM Trsfm'!B10</f>
        <v>Sewing Dept.</v>
      </c>
      <c r="F9" s="10" t="str">
        <f>'BOM Trsfm'!C10</f>
        <v xml:space="preserve">B3. Connector Strap </v>
      </c>
      <c r="G9" s="10" t="str">
        <f>'BOM Trsfm'!D10</f>
        <v xml:space="preserve"> Sew the 2 long sides of the connector Strap  panel</v>
      </c>
      <c r="H9" s="10">
        <v>25</v>
      </c>
      <c r="I9" s="10" t="s">
        <v>262</v>
      </c>
    </row>
    <row r="10" spans="1:9">
      <c r="A10" s="10" t="s">
        <v>298</v>
      </c>
      <c r="B10" s="10" t="s">
        <v>214</v>
      </c>
      <c r="C10" s="9" t="s">
        <v>188</v>
      </c>
      <c r="D10" s="9">
        <f>'BOM Trsfm'!A11</f>
        <v>9</v>
      </c>
      <c r="E10" s="10" t="str">
        <f>'BOM Trsfm'!B11</f>
        <v>Sewing Dept.</v>
      </c>
      <c r="F10" s="10" t="str">
        <f>'BOM Trsfm'!C11</f>
        <v xml:space="preserve">B4. Connector Strap </v>
      </c>
      <c r="G10" s="10" t="str">
        <f>'BOM Trsfm'!D11</f>
        <v>Sew the connector strap to the small Velcro pocket, add the loop Velcro.</v>
      </c>
      <c r="H10" s="10">
        <v>35</v>
      </c>
      <c r="I10" s="10" t="s">
        <v>262</v>
      </c>
    </row>
    <row r="11" spans="1:9">
      <c r="A11" s="10" t="s">
        <v>188</v>
      </c>
      <c r="B11" s="10" t="s">
        <v>214</v>
      </c>
      <c r="C11" s="9" t="s">
        <v>189</v>
      </c>
      <c r="D11" s="9">
        <f>'BOM Trsfm'!A12</f>
        <v>10</v>
      </c>
      <c r="E11" s="10" t="str">
        <f>'BOM Trsfm'!B12</f>
        <v>Sewing Dept.</v>
      </c>
      <c r="F11" s="10" t="str">
        <f>'BOM Trsfm'!C12</f>
        <v xml:space="preserve">B5. Connector Strap </v>
      </c>
      <c r="G11" s="10" t="str">
        <f>'BOM Trsfm'!D12</f>
        <v xml:space="preserve"> Close the sides of the small Velcro pocket.</v>
      </c>
      <c r="H11" s="10">
        <v>15</v>
      </c>
      <c r="I11" s="10" t="s">
        <v>262</v>
      </c>
    </row>
    <row r="12" spans="1:9">
      <c r="A12" s="10" t="s">
        <v>189</v>
      </c>
      <c r="B12" s="10" t="s">
        <v>215</v>
      </c>
      <c r="C12" s="9" t="s">
        <v>190</v>
      </c>
      <c r="D12" s="9">
        <f>'BOM Trsfm'!A13</f>
        <v>11</v>
      </c>
      <c r="E12" s="10" t="str">
        <f>'BOM Trsfm'!B13</f>
        <v>Sewing Dept.</v>
      </c>
      <c r="F12" s="10" t="str">
        <f>'BOM Trsfm'!C13</f>
        <v xml:space="preserve">B6. Connector Strap </v>
      </c>
      <c r="G12" s="10" t="str">
        <f>'BOM Trsfm'!D13</f>
        <v xml:space="preserve"> Cut threads, Turn right side out, Cut corners</v>
      </c>
      <c r="H12" s="10">
        <v>25</v>
      </c>
      <c r="I12" s="10" t="s">
        <v>276</v>
      </c>
    </row>
    <row r="13" spans="1:9">
      <c r="A13" s="10" t="s">
        <v>216</v>
      </c>
      <c r="B13" s="10" t="s">
        <v>214</v>
      </c>
      <c r="C13" s="9" t="s">
        <v>191</v>
      </c>
      <c r="D13" s="9">
        <f>'BOM Trsfm'!A14</f>
        <v>12</v>
      </c>
      <c r="E13" s="10" t="str">
        <f>'BOM Trsfm'!B14</f>
        <v>Sewing Dept.</v>
      </c>
      <c r="F13" s="10" t="str">
        <f>'BOM Trsfm'!C14</f>
        <v xml:space="preserve">C1. Hanging Big Pocket </v>
      </c>
      <c r="G13" s="10" t="str">
        <f>'BOM Trsfm'!D14</f>
        <v xml:space="preserve">  Hem one short side</v>
      </c>
      <c r="H13" s="10">
        <v>17</v>
      </c>
      <c r="I13" s="10" t="s">
        <v>262</v>
      </c>
    </row>
    <row r="14" spans="1:9">
      <c r="A14" s="10" t="s">
        <v>191</v>
      </c>
      <c r="B14" s="10" t="s">
        <v>214</v>
      </c>
      <c r="C14" s="9" t="s">
        <v>192</v>
      </c>
      <c r="D14" s="9">
        <f>'BOM Trsfm'!A15</f>
        <v>13</v>
      </c>
      <c r="E14" s="10" t="str">
        <f>'BOM Trsfm'!B15</f>
        <v>Sewing Dept.</v>
      </c>
      <c r="F14" s="10" t="str">
        <f>'BOM Trsfm'!C15</f>
        <v xml:space="preserve">C2. Hanging Big Pocket </v>
      </c>
      <c r="G14" s="10" t="str">
        <f>'BOM Trsfm'!D15</f>
        <v xml:space="preserve"> Fold to the marking, and close both sides</v>
      </c>
      <c r="H14" s="10">
        <v>35</v>
      </c>
      <c r="I14" s="10" t="s">
        <v>262</v>
      </c>
    </row>
    <row r="15" spans="1:9">
      <c r="A15" s="10" t="s">
        <v>192</v>
      </c>
      <c r="B15" s="10" t="s">
        <v>214</v>
      </c>
      <c r="C15" s="9" t="s">
        <v>193</v>
      </c>
      <c r="D15" s="9">
        <f>'BOM Trsfm'!A16</f>
        <v>14</v>
      </c>
      <c r="E15" s="10" t="str">
        <f>'BOM Trsfm'!B16</f>
        <v>Sewing Dept.</v>
      </c>
      <c r="F15" s="10" t="str">
        <f>'BOM Trsfm'!C16</f>
        <v xml:space="preserve">C3. Hanging Big Pocket </v>
      </c>
      <c r="G15" s="10" t="str">
        <f>'BOM Trsfm'!D16</f>
        <v xml:space="preserve"> Add stitching to the lower corners to create volume</v>
      </c>
      <c r="H15" s="10">
        <v>36</v>
      </c>
      <c r="I15" s="10" t="s">
        <v>262</v>
      </c>
    </row>
    <row r="16" spans="1:9">
      <c r="A16" s="10" t="s">
        <v>193</v>
      </c>
      <c r="B16" s="10" t="s">
        <v>215</v>
      </c>
      <c r="C16" s="9" t="s">
        <v>194</v>
      </c>
      <c r="D16" s="9">
        <f>'BOM Trsfm'!A17</f>
        <v>15</v>
      </c>
      <c r="E16" s="10" t="str">
        <f>'BOM Trsfm'!B17</f>
        <v>Sewing Dept.</v>
      </c>
      <c r="F16" s="10" t="str">
        <f>'BOM Trsfm'!C17</f>
        <v xml:space="preserve">C4. Hanging Big Pocket </v>
      </c>
      <c r="G16" s="10" t="str">
        <f>'BOM Trsfm'!D17</f>
        <v xml:space="preserve"> Turn right side out</v>
      </c>
      <c r="H16" s="10">
        <v>25</v>
      </c>
      <c r="I16" s="10" t="s">
        <v>276</v>
      </c>
    </row>
    <row r="17" spans="1:9">
      <c r="A17" s="10" t="s">
        <v>194</v>
      </c>
      <c r="B17" s="10" t="s">
        <v>214</v>
      </c>
      <c r="C17" s="9" t="s">
        <v>195</v>
      </c>
      <c r="D17" s="9">
        <f>'BOM Trsfm'!A18</f>
        <v>16</v>
      </c>
      <c r="E17" s="10" t="str">
        <f>'BOM Trsfm'!B18</f>
        <v>Sewing Dept.</v>
      </c>
      <c r="F17" s="10" t="str">
        <f>'BOM Trsfm'!C18</f>
        <v xml:space="preserve">C5. Hanging Big Pocket </v>
      </c>
      <c r="G17" s="10" t="str">
        <f>'BOM Trsfm'!D18</f>
        <v xml:space="preserve"> Add straight single-stitching to the top of the pocket</v>
      </c>
      <c r="H17" s="10">
        <v>15</v>
      </c>
      <c r="I17" s="10" t="s">
        <v>262</v>
      </c>
    </row>
    <row r="18" spans="1:9">
      <c r="A18" s="10" t="s">
        <v>195</v>
      </c>
      <c r="B18" s="10" t="s">
        <v>214</v>
      </c>
      <c r="C18" s="9" t="s">
        <v>197</v>
      </c>
      <c r="D18" s="9">
        <f>'BOM Trsfm'!A19</f>
        <v>17</v>
      </c>
      <c r="E18" s="10" t="str">
        <f>'BOM Trsfm'!B19</f>
        <v>Sewing Dept.</v>
      </c>
      <c r="F18" s="10" t="str">
        <f>'BOM Trsfm'!C19</f>
        <v xml:space="preserve">C6. Hanging Big Pocket </v>
      </c>
      <c r="G18" s="10" t="str">
        <f>'BOM Trsfm'!D19</f>
        <v xml:space="preserve"> Sew the center stitch</v>
      </c>
      <c r="H18" s="10">
        <v>20</v>
      </c>
      <c r="I18" s="10" t="s">
        <v>262</v>
      </c>
    </row>
    <row r="19" spans="1:9">
      <c r="A19" s="10" t="s">
        <v>197</v>
      </c>
      <c r="B19" s="10" t="s">
        <v>214</v>
      </c>
      <c r="C19" s="9" t="s">
        <v>198</v>
      </c>
      <c r="D19" s="9">
        <f>'BOM Trsfm'!A20</f>
        <v>18</v>
      </c>
      <c r="E19" s="10" t="str">
        <f>'BOM Trsfm'!B20</f>
        <v>Sewing Dept.</v>
      </c>
      <c r="F19" s="10" t="str">
        <f>'BOM Trsfm'!C20</f>
        <v xml:space="preserve">C7. Bartack </v>
      </c>
      <c r="G19" s="10" t="str">
        <f>'BOM Trsfm'!D20</f>
        <v xml:space="preserve"> Add the bartack to the top of the hanging big pocket</v>
      </c>
      <c r="H19" s="10">
        <v>14</v>
      </c>
      <c r="I19" s="10" t="s">
        <v>268</v>
      </c>
    </row>
    <row r="20" spans="1:9">
      <c r="A20" s="10" t="s">
        <v>198</v>
      </c>
      <c r="B20" s="10" t="s">
        <v>214</v>
      </c>
      <c r="C20" s="9" t="s">
        <v>199</v>
      </c>
      <c r="D20" s="9">
        <f>'BOM Trsfm'!A21</f>
        <v>19</v>
      </c>
      <c r="E20" s="10" t="str">
        <f>'BOM Trsfm'!B21</f>
        <v>Sewing Dept.</v>
      </c>
      <c r="F20" s="10" t="str">
        <f>'BOM Trsfm'!C21</f>
        <v xml:space="preserve">C8. Hanging Big Pocket </v>
      </c>
      <c r="G20" s="10" t="str">
        <f>'BOM Trsfm'!D21</f>
        <v xml:space="preserve"> Stitch the connector strap to the large pocket</v>
      </c>
      <c r="H20" s="10">
        <v>9</v>
      </c>
      <c r="I20" s="10" t="s">
        <v>262</v>
      </c>
    </row>
    <row r="21" spans="1:9">
      <c r="A21" s="10" t="s">
        <v>217</v>
      </c>
      <c r="B21" s="10" t="s">
        <v>214</v>
      </c>
      <c r="C21" s="9" t="s">
        <v>200</v>
      </c>
      <c r="D21" s="9">
        <f>'BOM Trsfm'!A22</f>
        <v>20</v>
      </c>
      <c r="E21" s="10" t="str">
        <f>'BOM Trsfm'!B22</f>
        <v>Sewing Dept.</v>
      </c>
      <c r="F21" s="10" t="str">
        <f>'BOM Trsfm'!C22</f>
        <v xml:space="preserve">D1. Cushion Cover </v>
      </c>
      <c r="G21" s="10" t="str">
        <f>'BOM Trsfm'!D22</f>
        <v>Sew the zipper onto the left panel with USA flag.</v>
      </c>
      <c r="H21" s="10">
        <v>100</v>
      </c>
      <c r="I21" s="10" t="s">
        <v>262</v>
      </c>
    </row>
    <row r="22" spans="1:9">
      <c r="A22" s="10" t="s">
        <v>216</v>
      </c>
      <c r="B22" s="10" t="s">
        <v>214</v>
      </c>
      <c r="C22" s="9" t="s">
        <v>201</v>
      </c>
      <c r="D22" s="9">
        <f>'BOM Trsfm'!A23</f>
        <v>21</v>
      </c>
      <c r="E22" s="10" t="str">
        <f>'BOM Trsfm'!B23</f>
        <v>Sewing Dept.</v>
      </c>
      <c r="F22" s="10" t="str">
        <f>'BOM Trsfm'!C23</f>
        <v xml:space="preserve">D2. Cushion Cover </v>
      </c>
      <c r="G22" s="10" t="str">
        <f>'BOM Trsfm'!D23</f>
        <v xml:space="preserve"> Sew the zipper with hemming foot onto the right panel without the flag</v>
      </c>
      <c r="H22" s="10">
        <v>30</v>
      </c>
      <c r="I22" s="10" t="s">
        <v>266</v>
      </c>
    </row>
    <row r="23" spans="1:9">
      <c r="A23" s="10" t="s">
        <v>218</v>
      </c>
      <c r="B23" s="10" t="s">
        <v>215</v>
      </c>
      <c r="C23" s="9" t="s">
        <v>202</v>
      </c>
      <c r="D23" s="9">
        <f>'BOM Trsfm'!A24</f>
        <v>22</v>
      </c>
      <c r="E23" s="10" t="str">
        <f>'BOM Trsfm'!B24</f>
        <v>Sewing Dept.</v>
      </c>
      <c r="F23" s="10" t="str">
        <f>'BOM Trsfm'!C24</f>
        <v xml:space="preserve">D3. Cushion Cover </v>
      </c>
      <c r="G23" s="10" t="str">
        <f>'BOM Trsfm'!D24</f>
        <v xml:space="preserve"> Cut extra material off add the zipper pull</v>
      </c>
      <c r="H23" s="10">
        <v>18</v>
      </c>
      <c r="I23" s="10" t="s">
        <v>276</v>
      </c>
    </row>
    <row r="24" spans="1:9">
      <c r="A24" s="10" t="s">
        <v>202</v>
      </c>
      <c r="B24" s="10" t="s">
        <v>214</v>
      </c>
      <c r="C24" s="9" t="s">
        <v>203</v>
      </c>
      <c r="D24" s="9">
        <f>'BOM Trsfm'!A25</f>
        <v>23</v>
      </c>
      <c r="E24" s="10" t="str">
        <f>'BOM Trsfm'!B25</f>
        <v>Sewing Dept.</v>
      </c>
      <c r="F24" s="10" t="str">
        <f>'BOM Trsfm'!C25</f>
        <v xml:space="preserve">D4. Cushion Cover </v>
      </c>
      <c r="G24" s="10" t="str">
        <f>'BOM Trsfm'!D25</f>
        <v xml:space="preserve"> Add stitch to both zipper ends</v>
      </c>
      <c r="H24" s="10">
        <v>60</v>
      </c>
      <c r="I24" s="10" t="s">
        <v>262</v>
      </c>
    </row>
    <row r="25" spans="1:9">
      <c r="A25" s="10" t="s">
        <v>203</v>
      </c>
      <c r="B25" s="10" t="s">
        <v>214</v>
      </c>
      <c r="C25" s="9" t="s">
        <v>204</v>
      </c>
      <c r="D25" s="9">
        <f>'BOM Trsfm'!A26</f>
        <v>24</v>
      </c>
      <c r="E25" s="10" t="str">
        <f>'BOM Trsfm'!B26</f>
        <v>Sewing Dept.</v>
      </c>
      <c r="F25" s="10" t="str">
        <f>'BOM Trsfm'!C26</f>
        <v xml:space="preserve">D5. Cushion Cover </v>
      </c>
      <c r="G25" s="10" t="str">
        <f>'BOM Trsfm'!D26</f>
        <v xml:space="preserve">  Sew the long sides closed</v>
      </c>
      <c r="H25" s="10">
        <v>30</v>
      </c>
      <c r="I25" s="10" t="s">
        <v>262</v>
      </c>
    </row>
    <row r="26" spans="1:9">
      <c r="A26" s="10" t="s">
        <v>204</v>
      </c>
      <c r="B26" s="10" t="s">
        <v>214</v>
      </c>
      <c r="C26" s="9" t="s">
        <v>205</v>
      </c>
      <c r="D26" s="9">
        <f>'BOM Trsfm'!A27</f>
        <v>25</v>
      </c>
      <c r="E26" s="10" t="str">
        <f>'BOM Trsfm'!B27</f>
        <v>Sewing Dept.</v>
      </c>
      <c r="F26" s="10" t="str">
        <f>'BOM Trsfm'!C27</f>
        <v xml:space="preserve">D6.Cushion Cover </v>
      </c>
      <c r="G26" s="10" t="str">
        <f>'BOM Trsfm'!D27</f>
        <v xml:space="preserve"> Sew front panel with pockets to zipper panel</v>
      </c>
      <c r="H26" s="10">
        <v>30</v>
      </c>
      <c r="I26" s="10" t="s">
        <v>262</v>
      </c>
    </row>
    <row r="27" spans="1:9">
      <c r="A27" s="10" t="s">
        <v>205</v>
      </c>
      <c r="B27" s="10" t="s">
        <v>214</v>
      </c>
      <c r="C27" s="9" t="s">
        <v>206</v>
      </c>
      <c r="D27" s="9">
        <f>'BOM Trsfm'!A28</f>
        <v>26</v>
      </c>
      <c r="E27" s="10" t="str">
        <f>'BOM Trsfm'!B28</f>
        <v>Sewing Dept.</v>
      </c>
      <c r="F27" s="10" t="str">
        <f>'BOM Trsfm'!C28</f>
        <v xml:space="preserve">D7. Cushion Cover </v>
      </c>
      <c r="G27" s="10" t="str">
        <f>'BOM Trsfm'!D28</f>
        <v xml:space="preserve"> Sew on the side panels</v>
      </c>
      <c r="H27" s="10">
        <v>30</v>
      </c>
      <c r="I27" s="10" t="s">
        <v>262</v>
      </c>
    </row>
    <row r="28" spans="1:9">
      <c r="A28" s="10" t="s">
        <v>206</v>
      </c>
      <c r="B28" s="10" t="s">
        <v>214</v>
      </c>
      <c r="C28" s="9" t="s">
        <v>207</v>
      </c>
      <c r="D28" s="9">
        <f>'BOM Trsfm'!A29</f>
        <v>27</v>
      </c>
      <c r="E28" s="10" t="str">
        <f>'BOM Trsfm'!B29</f>
        <v>Sewing Dept.</v>
      </c>
      <c r="F28" s="10" t="str">
        <f>'BOM Trsfm'!C29</f>
        <v xml:space="preserve">D8. Cushion Cover </v>
      </c>
      <c r="G28" s="10" t="str">
        <f>'BOM Trsfm'!D29</f>
        <v xml:space="preserve"> Turn right side out</v>
      </c>
      <c r="H28" s="10">
        <v>30</v>
      </c>
      <c r="I28" s="10" t="s">
        <v>276</v>
      </c>
    </row>
    <row r="29" spans="1:9">
      <c r="A29" s="10" t="s">
        <v>206</v>
      </c>
      <c r="B29" s="10" t="s">
        <v>214</v>
      </c>
      <c r="C29" s="9" t="s">
        <v>208</v>
      </c>
      <c r="D29" s="9">
        <f>'BOM Trsfm'!A30</f>
        <v>28</v>
      </c>
      <c r="E29" s="10" t="str">
        <f>'BOM Trsfm'!B30</f>
        <v>Inspection</v>
      </c>
      <c r="F29" s="10" t="str">
        <f>'BOM Trsfm'!C30</f>
        <v xml:space="preserve">A. Inspection Quality </v>
      </c>
      <c r="G29" s="10" t="str">
        <f>'BOM Trsfm'!D30</f>
        <v xml:space="preserve"> Clean and inspect for any loose threads, missing, flag, ect.</v>
      </c>
      <c r="H29" s="10">
        <v>30</v>
      </c>
      <c r="I29" s="10" t="s">
        <v>276</v>
      </c>
    </row>
    <row r="30" spans="1:9">
      <c r="A30" s="10" t="s">
        <v>208</v>
      </c>
      <c r="B30" s="10" t="s">
        <v>214</v>
      </c>
      <c r="C30" s="10" t="s">
        <v>209</v>
      </c>
      <c r="D30" s="9">
        <f>'BOM Trsfm'!A31</f>
        <v>29</v>
      </c>
      <c r="E30" s="10" t="str">
        <f>'BOM Trsfm'!B31</f>
        <v>Inspection</v>
      </c>
      <c r="F30" s="10" t="str">
        <f>'BOM Trsfm'!C31</f>
        <v xml:space="preserve">B. Inspection Insert Foam </v>
      </c>
      <c r="G30" s="10" t="str">
        <f>'BOM Trsfm'!D31</f>
        <v xml:space="preserve"> Insert foam piece into the headrest.</v>
      </c>
      <c r="H30" s="10">
        <v>50</v>
      </c>
      <c r="I30" s="10" t="s">
        <v>276</v>
      </c>
    </row>
    <row r="31" spans="1:9">
      <c r="A31" s="10" t="s">
        <v>209</v>
      </c>
      <c r="B31" s="10" t="s">
        <v>214</v>
      </c>
      <c r="C31" s="10" t="s">
        <v>210</v>
      </c>
      <c r="D31" s="9">
        <f>'BOM Trsfm'!A32</f>
        <v>30</v>
      </c>
      <c r="E31" s="10" t="str">
        <f>'BOM Trsfm'!B32</f>
        <v>Inspection</v>
      </c>
      <c r="F31" s="10" t="str">
        <f>'BOM Trsfm'!C32</f>
        <v xml:space="preserve">C. Inspection Bag </v>
      </c>
      <c r="G31" s="10" t="str">
        <f>'BOM Trsfm'!D32</f>
        <v xml:space="preserve"> Individually bagged into poly bag S-1997 Size: 9 x 24</v>
      </c>
      <c r="H31" s="10">
        <v>30</v>
      </c>
      <c r="I31" s="10" t="s">
        <v>276</v>
      </c>
    </row>
    <row r="32" spans="1:9">
      <c r="A32" s="10" t="s">
        <v>210</v>
      </c>
      <c r="B32" s="10" t="s">
        <v>214</v>
      </c>
      <c r="C32" s="10" t="s">
        <v>211</v>
      </c>
      <c r="D32" s="9">
        <f>'BOM Trsfm'!A33</f>
        <v>31</v>
      </c>
      <c r="E32" s="10" t="str">
        <f>'BOM Trsfm'!B33</f>
        <v>Inspection</v>
      </c>
      <c r="F32" s="10" t="str">
        <f>'BOM Trsfm'!C33</f>
        <v xml:space="preserve">D. Inspection Pack </v>
      </c>
      <c r="G32" s="10" t="str">
        <f>'BOM Trsfm'!D33</f>
        <v xml:space="preserve"> Pack into cartons </v>
      </c>
      <c r="H32" s="10">
        <v>60</v>
      </c>
      <c r="I32" s="10" t="s">
        <v>280</v>
      </c>
    </row>
  </sheetData>
  <pageMargins left="0.7" right="0.7" top="0.75" bottom="0.75" header="0.3" footer="0.3"/>
  <pageSetup scale="77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B703-AB2B-174B-8428-F4A5097BCAB3}">
  <dimension ref="A2:E33"/>
  <sheetViews>
    <sheetView workbookViewId="0">
      <selection activeCell="E24" sqref="E24"/>
    </sheetView>
  </sheetViews>
  <sheetFormatPr baseColWidth="10" defaultRowHeight="13"/>
  <cols>
    <col min="1" max="1" width="28.6640625" bestFit="1" customWidth="1"/>
    <col min="2" max="2" width="11.5" bestFit="1" customWidth="1"/>
    <col min="3" max="3" width="93.33203125" bestFit="1" customWidth="1"/>
  </cols>
  <sheetData>
    <row r="2" spans="1:5">
      <c r="A2" s="5" t="s">
        <v>111</v>
      </c>
      <c r="B2" s="5" t="s">
        <v>112</v>
      </c>
      <c r="C2" s="5" t="s">
        <v>113</v>
      </c>
    </row>
    <row r="3" spans="1:5">
      <c r="A3">
        <v>1</v>
      </c>
      <c r="B3" t="s">
        <v>9</v>
      </c>
      <c r="C3" t="s">
        <v>10</v>
      </c>
      <c r="D3" s="5" t="s">
        <v>299</v>
      </c>
      <c r="E3" t="str">
        <f t="shared" ref="E3:E9" si="0">C3&amp;D3</f>
        <v>Auto CutterCut Fabric</v>
      </c>
    </row>
    <row r="4" spans="1:5">
      <c r="A4">
        <v>2</v>
      </c>
      <c r="B4" t="s">
        <v>13</v>
      </c>
      <c r="C4" t="s">
        <v>122</v>
      </c>
      <c r="D4" t="s">
        <v>123</v>
      </c>
      <c r="E4" t="str">
        <f t="shared" si="0"/>
        <v>Pre-Step  Cut Velcro</v>
      </c>
    </row>
    <row r="5" spans="1:5">
      <c r="A5">
        <v>3</v>
      </c>
      <c r="B5" t="s">
        <v>13</v>
      </c>
      <c r="C5" t="s">
        <v>122</v>
      </c>
      <c r="D5" t="s">
        <v>124</v>
      </c>
      <c r="E5" t="str">
        <f t="shared" si="0"/>
        <v>Pre-Step  Sew flag on panel</v>
      </c>
    </row>
    <row r="6" spans="1:5">
      <c r="A6">
        <v>4</v>
      </c>
      <c r="B6" t="s">
        <v>13</v>
      </c>
      <c r="C6" t="s">
        <v>125</v>
      </c>
      <c r="D6" t="s">
        <v>126</v>
      </c>
      <c r="E6" t="str">
        <f t="shared" si="0"/>
        <v>A1. Small Velcro Pocket  Hem short edge</v>
      </c>
    </row>
    <row r="7" spans="1:5">
      <c r="A7">
        <v>5</v>
      </c>
      <c r="B7" t="s">
        <v>13</v>
      </c>
      <c r="C7" t="s">
        <v>127</v>
      </c>
      <c r="D7" t="s">
        <v>128</v>
      </c>
      <c r="E7" t="str">
        <f t="shared" si="0"/>
        <v>A2. Small Velcro Pocket  Sew hook velcro</v>
      </c>
    </row>
    <row r="8" spans="1:5">
      <c r="A8">
        <v>6</v>
      </c>
      <c r="B8" t="s">
        <v>13</v>
      </c>
      <c r="C8" t="s">
        <v>129</v>
      </c>
      <c r="D8" t="s">
        <v>130</v>
      </c>
      <c r="E8" t="str">
        <f t="shared" si="0"/>
        <v>B1. Connector Strap  Sew the panel together along the long sides</v>
      </c>
    </row>
    <row r="9" spans="1:5">
      <c r="A9">
        <v>7</v>
      </c>
      <c r="B9" t="s">
        <v>13</v>
      </c>
      <c r="C9" t="s">
        <v>131</v>
      </c>
      <c r="D9" t="s">
        <v>132</v>
      </c>
      <c r="E9" t="str">
        <f t="shared" si="0"/>
        <v>B2. Connector Strap  Turn inside out</v>
      </c>
    </row>
    <row r="10" spans="1:5">
      <c r="A10">
        <v>8</v>
      </c>
      <c r="B10" t="s">
        <v>13</v>
      </c>
      <c r="C10" t="s">
        <v>133</v>
      </c>
      <c r="D10" t="s">
        <v>134</v>
      </c>
      <c r="E10" t="str">
        <f>C10&amp;D10</f>
        <v>B3. Connector Strap  Sew the 2 long sides of the connector Strap  panel</v>
      </c>
    </row>
    <row r="11" spans="1:5">
      <c r="A11">
        <v>9</v>
      </c>
      <c r="B11" t="s">
        <v>13</v>
      </c>
      <c r="C11" t="s">
        <v>135</v>
      </c>
      <c r="D11" t="s">
        <v>136</v>
      </c>
      <c r="E11" t="str">
        <f t="shared" ref="E11:E33" si="1">C11&amp;D11</f>
        <v>B4. Connector Strap Sew the connector strap to the small Velcro pocket, add the loop Velcro.</v>
      </c>
    </row>
    <row r="12" spans="1:5">
      <c r="A12">
        <v>10</v>
      </c>
      <c r="B12" t="s">
        <v>13</v>
      </c>
      <c r="C12" t="s">
        <v>137</v>
      </c>
      <c r="D12" t="s">
        <v>138</v>
      </c>
      <c r="E12" t="str">
        <f t="shared" si="1"/>
        <v>B5. Connector Strap  Close the sides of the small Velcro pocket.</v>
      </c>
    </row>
    <row r="13" spans="1:5">
      <c r="A13">
        <v>11</v>
      </c>
      <c r="B13" t="s">
        <v>13</v>
      </c>
      <c r="C13" t="s">
        <v>139</v>
      </c>
      <c r="D13" t="s">
        <v>140</v>
      </c>
      <c r="E13" t="str">
        <f t="shared" si="1"/>
        <v>B6. Connector Strap  Cut threads, Turn right side out, Cut corners</v>
      </c>
    </row>
    <row r="14" spans="1:5">
      <c r="A14">
        <v>12</v>
      </c>
      <c r="B14" t="s">
        <v>13</v>
      </c>
      <c r="C14" t="s">
        <v>141</v>
      </c>
      <c r="D14" t="s">
        <v>142</v>
      </c>
      <c r="E14" t="str">
        <f t="shared" si="1"/>
        <v>C1. Hanging Big Pocket   Hem one short side</v>
      </c>
    </row>
    <row r="15" spans="1:5">
      <c r="A15">
        <v>13</v>
      </c>
      <c r="B15" t="s">
        <v>13</v>
      </c>
      <c r="C15" t="s">
        <v>143</v>
      </c>
      <c r="D15" t="s">
        <v>144</v>
      </c>
      <c r="E15" t="str">
        <f t="shared" si="1"/>
        <v>C2. Hanging Big Pocket  Fold to the marking, and close both sides</v>
      </c>
    </row>
    <row r="16" spans="1:5">
      <c r="A16">
        <v>14</v>
      </c>
      <c r="B16" t="s">
        <v>13</v>
      </c>
      <c r="C16" t="s">
        <v>145</v>
      </c>
      <c r="D16" t="s">
        <v>146</v>
      </c>
      <c r="E16" t="str">
        <f t="shared" si="1"/>
        <v>C3. Hanging Big Pocket  Add stitching to the lower corners to create volume</v>
      </c>
    </row>
    <row r="17" spans="1:5">
      <c r="A17">
        <v>15</v>
      </c>
      <c r="B17" t="s">
        <v>13</v>
      </c>
      <c r="C17" t="s">
        <v>147</v>
      </c>
      <c r="D17" t="s">
        <v>148</v>
      </c>
      <c r="E17" t="str">
        <f t="shared" si="1"/>
        <v>C4. Hanging Big Pocket  Turn right side out</v>
      </c>
    </row>
    <row r="18" spans="1:5">
      <c r="A18">
        <v>16</v>
      </c>
      <c r="B18" t="s">
        <v>13</v>
      </c>
      <c r="C18" t="s">
        <v>149</v>
      </c>
      <c r="D18" t="s">
        <v>150</v>
      </c>
      <c r="E18" t="str">
        <f t="shared" si="1"/>
        <v>C5. Hanging Big Pocket  Add straight single-stitching to the top of the pocket</v>
      </c>
    </row>
    <row r="19" spans="1:5">
      <c r="A19">
        <v>17</v>
      </c>
      <c r="B19" t="s">
        <v>13</v>
      </c>
      <c r="C19" t="s">
        <v>151</v>
      </c>
      <c r="D19" t="s">
        <v>152</v>
      </c>
      <c r="E19" t="str">
        <f t="shared" si="1"/>
        <v>C6. Hanging Big Pocket  Sew the center stitch</v>
      </c>
    </row>
    <row r="20" spans="1:5">
      <c r="A20">
        <v>18</v>
      </c>
      <c r="B20" t="s">
        <v>13</v>
      </c>
      <c r="C20" t="s">
        <v>153</v>
      </c>
      <c r="D20" t="s">
        <v>154</v>
      </c>
      <c r="E20" t="str">
        <f t="shared" si="1"/>
        <v>C7. Bartack  Add the bartack to the top of the hanging big pocket</v>
      </c>
    </row>
    <row r="21" spans="1:5">
      <c r="A21">
        <v>19</v>
      </c>
      <c r="B21" t="s">
        <v>13</v>
      </c>
      <c r="C21" t="s">
        <v>155</v>
      </c>
      <c r="D21" t="s">
        <v>156</v>
      </c>
      <c r="E21" t="str">
        <f t="shared" si="1"/>
        <v>C8. Hanging Big Pocket  Stitch the connector strap to the large pocket</v>
      </c>
    </row>
    <row r="22" spans="1:5">
      <c r="A22">
        <v>20</v>
      </c>
      <c r="B22" t="s">
        <v>13</v>
      </c>
      <c r="C22" t="s">
        <v>157</v>
      </c>
      <c r="D22" t="s">
        <v>158</v>
      </c>
      <c r="E22" t="str">
        <f t="shared" si="1"/>
        <v>D1. Cushion Cover Sew the zipper onto the left panel with USA flag.</v>
      </c>
    </row>
    <row r="23" spans="1:5">
      <c r="A23">
        <v>21</v>
      </c>
      <c r="B23" t="s">
        <v>13</v>
      </c>
      <c r="C23" t="s">
        <v>159</v>
      </c>
      <c r="D23" t="s">
        <v>160</v>
      </c>
      <c r="E23" t="str">
        <f t="shared" si="1"/>
        <v>D2. Cushion Cover  Sew the zipper with hemming foot onto the right panel without the flag</v>
      </c>
    </row>
    <row r="24" spans="1:5">
      <c r="A24">
        <v>22</v>
      </c>
      <c r="B24" t="s">
        <v>13</v>
      </c>
      <c r="C24" t="s">
        <v>161</v>
      </c>
      <c r="D24" t="s">
        <v>162</v>
      </c>
      <c r="E24" t="str">
        <f t="shared" si="1"/>
        <v>D3. Cushion Cover  Cut extra material off add the zipper pull</v>
      </c>
    </row>
    <row r="25" spans="1:5">
      <c r="A25">
        <v>23</v>
      </c>
      <c r="B25" t="s">
        <v>13</v>
      </c>
      <c r="C25" t="s">
        <v>163</v>
      </c>
      <c r="D25" t="s">
        <v>164</v>
      </c>
      <c r="E25" t="str">
        <f t="shared" si="1"/>
        <v>D4. Cushion Cover  Add stitch to both zipper ends</v>
      </c>
    </row>
    <row r="26" spans="1:5">
      <c r="A26">
        <v>24</v>
      </c>
      <c r="B26" t="s">
        <v>13</v>
      </c>
      <c r="C26" t="s">
        <v>165</v>
      </c>
      <c r="D26" t="s">
        <v>166</v>
      </c>
      <c r="E26" t="str">
        <f t="shared" si="1"/>
        <v>D5. Cushion Cover   Sew the long sides closed</v>
      </c>
    </row>
    <row r="27" spans="1:5">
      <c r="A27">
        <v>25</v>
      </c>
      <c r="B27" t="s">
        <v>13</v>
      </c>
      <c r="C27" t="s">
        <v>167</v>
      </c>
      <c r="D27" t="s">
        <v>168</v>
      </c>
      <c r="E27" t="str">
        <f t="shared" si="1"/>
        <v>D6.Cushion Cover  Sew front panel with pockets to zipper panel</v>
      </c>
    </row>
    <row r="28" spans="1:5">
      <c r="A28">
        <v>26</v>
      </c>
      <c r="B28" t="s">
        <v>13</v>
      </c>
      <c r="C28" t="s">
        <v>169</v>
      </c>
      <c r="D28" t="s">
        <v>170</v>
      </c>
      <c r="E28" t="str">
        <f t="shared" si="1"/>
        <v>D7. Cushion Cover  Sew on the side panels</v>
      </c>
    </row>
    <row r="29" spans="1:5">
      <c r="A29">
        <v>27</v>
      </c>
      <c r="B29" t="s">
        <v>13</v>
      </c>
      <c r="C29" t="s">
        <v>171</v>
      </c>
      <c r="D29" t="s">
        <v>148</v>
      </c>
      <c r="E29" t="str">
        <f t="shared" si="1"/>
        <v>D8. Cushion Cover  Turn right side out</v>
      </c>
    </row>
    <row r="30" spans="1:5">
      <c r="A30">
        <v>28</v>
      </c>
      <c r="B30" t="s">
        <v>96</v>
      </c>
      <c r="C30" t="s">
        <v>172</v>
      </c>
      <c r="D30" t="s">
        <v>173</v>
      </c>
      <c r="E30" t="str">
        <f t="shared" si="1"/>
        <v>A. Inspection Quality  Clean and inspect for any loose threads, missing, flag, ect.</v>
      </c>
    </row>
    <row r="31" spans="1:5">
      <c r="A31">
        <v>29</v>
      </c>
      <c r="B31" t="s">
        <v>96</v>
      </c>
      <c r="C31" t="s">
        <v>174</v>
      </c>
      <c r="D31" t="s">
        <v>175</v>
      </c>
      <c r="E31" t="str">
        <f t="shared" si="1"/>
        <v>B. Inspection Insert Foam  Insert foam piece into the headrest.</v>
      </c>
    </row>
    <row r="32" spans="1:5">
      <c r="A32">
        <v>30</v>
      </c>
      <c r="B32" t="s">
        <v>96</v>
      </c>
      <c r="C32" t="s">
        <v>176</v>
      </c>
      <c r="D32" t="s">
        <v>177</v>
      </c>
      <c r="E32" t="str">
        <f t="shared" si="1"/>
        <v>C. Inspection Bag  Individually bagged into poly bag S-1997 Size: 9 x 24</v>
      </c>
    </row>
    <row r="33" spans="1:5">
      <c r="A33">
        <v>31</v>
      </c>
      <c r="B33" t="s">
        <v>96</v>
      </c>
      <c r="C33" t="s">
        <v>178</v>
      </c>
      <c r="D33" s="5" t="s">
        <v>300</v>
      </c>
      <c r="E33" t="str">
        <f t="shared" si="1"/>
        <v xml:space="preserve">D. Inspection Pack  Pack into cartons </v>
      </c>
    </row>
  </sheetData>
  <sortState xmlns:xlrd2="http://schemas.microsoft.com/office/spreadsheetml/2017/richdata2" ref="A3:C33">
    <sortCondition ref="A3:A33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C515-B61C-7042-9D02-0F1A2D7FB3BA}">
  <dimension ref="A1:I167"/>
  <sheetViews>
    <sheetView workbookViewId="0">
      <selection activeCell="E12" sqref="E12:F13"/>
    </sheetView>
  </sheetViews>
  <sheetFormatPr baseColWidth="10" defaultRowHeight="13"/>
  <cols>
    <col min="1" max="1" width="5" customWidth="1"/>
    <col min="2" max="2" width="10.1640625" customWidth="1"/>
    <col min="3" max="3" width="15" customWidth="1"/>
    <col min="4" max="4" width="18.33203125" customWidth="1"/>
    <col min="5" max="5" width="12" customWidth="1"/>
    <col min="6" max="6" width="25" customWidth="1"/>
    <col min="7" max="7" width="4.1640625" customWidth="1"/>
    <col min="8" max="8" width="8" customWidth="1"/>
    <col min="9" max="9" width="5" customWidth="1"/>
    <col min="10" max="256" width="8.83203125" customWidth="1"/>
  </cols>
  <sheetData>
    <row r="1" spans="1:9" ht="20" customHeight="1">
      <c r="A1" s="1"/>
      <c r="B1" s="1"/>
      <c r="C1" s="1"/>
      <c r="D1" s="1"/>
      <c r="E1" s="1"/>
      <c r="F1" s="1"/>
      <c r="G1" s="1"/>
      <c r="H1" s="1"/>
      <c r="I1" s="1"/>
    </row>
    <row r="2" spans="1:9" ht="18" customHeight="1">
      <c r="A2" s="1"/>
      <c r="B2" s="23" t="s">
        <v>0</v>
      </c>
      <c r="C2" s="23"/>
      <c r="D2" s="23"/>
      <c r="E2" s="23"/>
      <c r="F2" s="23"/>
      <c r="G2" s="23"/>
      <c r="H2" s="23"/>
      <c r="I2" s="1"/>
    </row>
    <row r="3" spans="1:9" ht="22" customHeight="1">
      <c r="A3" s="1"/>
      <c r="B3" s="24" t="s">
        <v>1</v>
      </c>
      <c r="C3" s="24"/>
      <c r="D3" s="24"/>
      <c r="E3" s="24"/>
      <c r="F3" s="24"/>
      <c r="G3" s="24"/>
      <c r="H3" s="24"/>
      <c r="I3" s="1"/>
    </row>
    <row r="4" spans="1:9" ht="14" customHeight="1">
      <c r="A4" s="1"/>
      <c r="B4" s="1"/>
      <c r="C4" s="1"/>
      <c r="D4" s="1"/>
      <c r="E4" s="1"/>
      <c r="F4" s="1"/>
      <c r="G4" s="1"/>
      <c r="H4" s="1"/>
      <c r="I4" s="1"/>
    </row>
    <row r="5" spans="1:9" ht="13" customHeight="1">
      <c r="A5" s="1"/>
      <c r="B5" s="25" t="s">
        <v>2</v>
      </c>
      <c r="C5" s="25"/>
      <c r="D5" s="25"/>
      <c r="E5" s="25"/>
      <c r="F5" s="25"/>
      <c r="G5" s="25"/>
      <c r="H5" s="25"/>
      <c r="I5" s="1"/>
    </row>
    <row r="6" spans="1:9" ht="10" customHeight="1">
      <c r="A6" s="1"/>
      <c r="B6" s="1"/>
      <c r="C6" s="1"/>
      <c r="D6" s="1"/>
      <c r="E6" s="1"/>
      <c r="F6" s="1"/>
      <c r="G6" s="1"/>
      <c r="H6" s="1"/>
      <c r="I6" s="1"/>
    </row>
    <row r="7" spans="1:9" ht="16" customHeight="1">
      <c r="A7" s="1"/>
      <c r="B7" s="2" t="s">
        <v>3</v>
      </c>
      <c r="C7" s="2" t="s">
        <v>4</v>
      </c>
      <c r="D7" s="2" t="s">
        <v>5</v>
      </c>
      <c r="E7" s="26" t="s">
        <v>6</v>
      </c>
      <c r="F7" s="26"/>
      <c r="G7" s="27" t="s">
        <v>7</v>
      </c>
      <c r="H7" s="27"/>
      <c r="I7" s="1"/>
    </row>
    <row r="8" spans="1:9" ht="1" customHeight="1">
      <c r="A8" s="1"/>
      <c r="B8" s="28"/>
      <c r="C8" s="28"/>
      <c r="D8" s="28"/>
      <c r="E8" s="28"/>
      <c r="F8" s="28"/>
      <c r="G8" s="28"/>
      <c r="H8" s="28"/>
      <c r="I8" s="1"/>
    </row>
    <row r="9" spans="1:9" ht="3" customHeight="1">
      <c r="A9" s="1"/>
      <c r="B9" s="1"/>
      <c r="C9" s="1"/>
      <c r="D9" s="1"/>
      <c r="E9" s="1"/>
      <c r="F9" s="1"/>
      <c r="G9" s="1"/>
      <c r="H9" s="1"/>
      <c r="I9" s="1"/>
    </row>
    <row r="10" spans="1:9" ht="14" customHeight="1">
      <c r="A10" s="1"/>
      <c r="B10" s="3" t="s">
        <v>8</v>
      </c>
      <c r="C10" s="3" t="s">
        <v>9</v>
      </c>
      <c r="D10" s="3" t="s">
        <v>10</v>
      </c>
      <c r="E10" s="19" t="s">
        <v>11</v>
      </c>
      <c r="F10" s="19"/>
      <c r="G10" s="29" t="s">
        <v>7</v>
      </c>
      <c r="H10" s="29"/>
      <c r="I10" s="1"/>
    </row>
    <row r="11" spans="1:9" ht="1" customHeight="1">
      <c r="A11" s="1"/>
      <c r="B11" s="20"/>
      <c r="C11" s="20"/>
      <c r="D11" s="20"/>
      <c r="E11" s="20"/>
      <c r="F11" s="20"/>
      <c r="G11" s="20"/>
      <c r="H11" s="20"/>
      <c r="I11" s="1"/>
    </row>
    <row r="12" spans="1:9" ht="14" customHeight="1">
      <c r="A12" s="1"/>
      <c r="B12" s="3" t="s">
        <v>12</v>
      </c>
      <c r="C12" s="3" t="s">
        <v>13</v>
      </c>
      <c r="D12" s="3" t="s">
        <v>14</v>
      </c>
      <c r="E12" s="19" t="s">
        <v>15</v>
      </c>
      <c r="F12" s="19"/>
      <c r="G12" s="1"/>
      <c r="H12" s="1"/>
      <c r="I12" s="1"/>
    </row>
    <row r="13" spans="1:9" ht="26" customHeight="1">
      <c r="A13" s="1"/>
      <c r="B13" s="1"/>
      <c r="C13" s="1"/>
      <c r="D13" s="1"/>
      <c r="E13" s="19"/>
      <c r="F13" s="19"/>
      <c r="G13" s="1"/>
      <c r="H13" s="1"/>
      <c r="I13" s="1"/>
    </row>
    <row r="14" spans="1:9" ht="1" customHeight="1">
      <c r="A14" s="1"/>
      <c r="B14" s="20"/>
      <c r="C14" s="20"/>
      <c r="D14" s="20"/>
      <c r="E14" s="20"/>
      <c r="F14" s="20"/>
      <c r="G14" s="20"/>
      <c r="H14" s="20"/>
      <c r="I14" s="1"/>
    </row>
    <row r="15" spans="1:9" ht="14" customHeight="1">
      <c r="A15" s="1"/>
      <c r="B15" s="3" t="s">
        <v>16</v>
      </c>
      <c r="C15" s="3" t="s">
        <v>13</v>
      </c>
      <c r="D15" s="19" t="s">
        <v>17</v>
      </c>
      <c r="E15" s="19" t="s">
        <v>18</v>
      </c>
      <c r="F15" s="19"/>
      <c r="G15" s="1"/>
      <c r="H15" s="1"/>
      <c r="I15" s="1"/>
    </row>
    <row r="16" spans="1:9" ht="13" customHeight="1">
      <c r="A16" s="1"/>
      <c r="B16" s="1"/>
      <c r="C16" s="1"/>
      <c r="D16" s="19"/>
      <c r="E16" s="19"/>
      <c r="F16" s="19"/>
      <c r="G16" s="1"/>
      <c r="H16" s="1"/>
      <c r="I16" s="1"/>
    </row>
    <row r="17" spans="1:9" ht="27" customHeight="1">
      <c r="A17" s="1"/>
      <c r="B17" s="1"/>
      <c r="C17" s="1"/>
      <c r="D17" s="1"/>
      <c r="E17" s="19"/>
      <c r="F17" s="19"/>
      <c r="G17" s="1"/>
      <c r="H17" s="1"/>
      <c r="I17" s="1"/>
    </row>
    <row r="18" spans="1:9" ht="1" customHeight="1">
      <c r="A18" s="1"/>
      <c r="B18" s="20"/>
      <c r="C18" s="20"/>
      <c r="D18" s="20"/>
      <c r="E18" s="20"/>
      <c r="F18" s="20"/>
      <c r="G18" s="20"/>
      <c r="H18" s="20"/>
      <c r="I18" s="1"/>
    </row>
    <row r="19" spans="1:9" ht="14" customHeight="1">
      <c r="A19" s="1"/>
      <c r="B19" s="3" t="s">
        <v>19</v>
      </c>
      <c r="C19" s="3" t="s">
        <v>13</v>
      </c>
      <c r="D19" s="19" t="s">
        <v>20</v>
      </c>
      <c r="E19" s="19" t="s">
        <v>21</v>
      </c>
      <c r="F19" s="19"/>
      <c r="G19" s="1"/>
      <c r="H19" s="1"/>
      <c r="I19" s="1"/>
    </row>
    <row r="20" spans="1:9" ht="13" customHeight="1">
      <c r="A20" s="1"/>
      <c r="B20" s="1"/>
      <c r="C20" s="1"/>
      <c r="D20" s="19"/>
      <c r="E20" s="19"/>
      <c r="F20" s="19"/>
      <c r="G20" s="1"/>
      <c r="H20" s="1"/>
      <c r="I20" s="1"/>
    </row>
    <row r="21" spans="1:9" ht="41" customHeight="1">
      <c r="A21" s="1"/>
      <c r="B21" s="1"/>
      <c r="C21" s="1"/>
      <c r="D21" s="1"/>
      <c r="E21" s="19"/>
      <c r="F21" s="19"/>
      <c r="G21" s="1"/>
      <c r="H21" s="1"/>
      <c r="I21" s="1"/>
    </row>
    <row r="22" spans="1:9" ht="1" customHeight="1">
      <c r="A22" s="1"/>
      <c r="B22" s="20"/>
      <c r="C22" s="20"/>
      <c r="D22" s="20"/>
      <c r="E22" s="20"/>
      <c r="F22" s="20"/>
      <c r="G22" s="20"/>
      <c r="H22" s="20"/>
      <c r="I22" s="1"/>
    </row>
    <row r="23" spans="1:9" ht="14" customHeight="1">
      <c r="A23" s="1"/>
      <c r="B23" s="3" t="s">
        <v>22</v>
      </c>
      <c r="C23" s="3" t="s">
        <v>13</v>
      </c>
      <c r="D23" s="19" t="s">
        <v>23</v>
      </c>
      <c r="E23" s="19" t="s">
        <v>24</v>
      </c>
      <c r="F23" s="19"/>
      <c r="G23" s="1"/>
      <c r="H23" s="1"/>
      <c r="I23" s="1"/>
    </row>
    <row r="24" spans="1:9" ht="13" customHeight="1">
      <c r="A24" s="1"/>
      <c r="B24" s="1"/>
      <c r="C24" s="1"/>
      <c r="D24" s="19"/>
      <c r="E24" s="19"/>
      <c r="F24" s="19"/>
      <c r="G24" s="1"/>
      <c r="H24" s="1"/>
      <c r="I24" s="1"/>
    </row>
    <row r="25" spans="1:9" ht="13" customHeight="1">
      <c r="A25" s="1"/>
      <c r="B25" s="1"/>
      <c r="C25" s="1"/>
      <c r="D25" s="1"/>
      <c r="E25" s="19"/>
      <c r="F25" s="19"/>
      <c r="G25" s="1"/>
      <c r="H25" s="1"/>
      <c r="I25" s="1"/>
    </row>
    <row r="26" spans="1:9" ht="1" customHeight="1">
      <c r="A26" s="1"/>
      <c r="B26" s="20"/>
      <c r="C26" s="20"/>
      <c r="D26" s="20"/>
      <c r="E26" s="20"/>
      <c r="F26" s="20"/>
      <c r="G26" s="20"/>
      <c r="H26" s="20"/>
      <c r="I26" s="1"/>
    </row>
    <row r="27" spans="1:9" ht="14" customHeight="1">
      <c r="A27" s="1"/>
      <c r="B27" s="3" t="s">
        <v>25</v>
      </c>
      <c r="C27" s="3" t="s">
        <v>13</v>
      </c>
      <c r="D27" s="19" t="s">
        <v>26</v>
      </c>
      <c r="E27" s="19" t="s">
        <v>27</v>
      </c>
      <c r="F27" s="19"/>
      <c r="G27" s="1"/>
      <c r="H27" s="1"/>
      <c r="I27" s="1"/>
    </row>
    <row r="28" spans="1:9" ht="26" customHeight="1">
      <c r="A28" s="1"/>
      <c r="B28" s="1"/>
      <c r="C28" s="1"/>
      <c r="D28" s="19"/>
      <c r="E28" s="19"/>
      <c r="F28" s="19"/>
      <c r="G28" s="1"/>
      <c r="H28" s="1"/>
      <c r="I28" s="1"/>
    </row>
    <row r="29" spans="1:9" ht="41" customHeight="1">
      <c r="A29" s="1"/>
      <c r="B29" s="1"/>
      <c r="C29" s="1"/>
      <c r="D29" s="1"/>
      <c r="E29" s="19"/>
      <c r="F29" s="19"/>
      <c r="G29" s="1"/>
      <c r="H29" s="1"/>
      <c r="I29" s="1"/>
    </row>
    <row r="30" spans="1:9" ht="1" customHeight="1">
      <c r="A30" s="1"/>
      <c r="B30" s="20"/>
      <c r="C30" s="20"/>
      <c r="D30" s="20"/>
      <c r="E30" s="20"/>
      <c r="F30" s="20"/>
      <c r="G30" s="20"/>
      <c r="H30" s="20"/>
      <c r="I30" s="1"/>
    </row>
    <row r="31" spans="1:9" ht="14" customHeight="1">
      <c r="A31" s="1"/>
      <c r="B31" s="3" t="s">
        <v>28</v>
      </c>
      <c r="C31" s="3" t="s">
        <v>13</v>
      </c>
      <c r="D31" s="19" t="s">
        <v>29</v>
      </c>
      <c r="E31" s="19" t="s">
        <v>30</v>
      </c>
      <c r="F31" s="19"/>
      <c r="G31" s="1"/>
      <c r="H31" s="1"/>
      <c r="I31" s="1"/>
    </row>
    <row r="32" spans="1:9" ht="13" customHeight="1">
      <c r="A32" s="1"/>
      <c r="B32" s="1"/>
      <c r="C32" s="1"/>
      <c r="D32" s="19"/>
      <c r="E32" s="19"/>
      <c r="F32" s="19"/>
      <c r="G32" s="1"/>
      <c r="H32" s="1"/>
      <c r="I32" s="1"/>
    </row>
    <row r="33" spans="1:9" ht="13" customHeight="1">
      <c r="A33" s="1"/>
      <c r="B33" s="1"/>
      <c r="C33" s="1"/>
      <c r="D33" s="1"/>
      <c r="E33" s="19"/>
      <c r="F33" s="19"/>
      <c r="G33" s="1"/>
      <c r="H33" s="1"/>
      <c r="I33" s="1"/>
    </row>
    <row r="34" spans="1:9" ht="1" customHeight="1">
      <c r="A34" s="1"/>
      <c r="B34" s="20"/>
      <c r="C34" s="20"/>
      <c r="D34" s="20"/>
      <c r="E34" s="20"/>
      <c r="F34" s="20"/>
      <c r="G34" s="20"/>
      <c r="H34" s="20"/>
      <c r="I34" s="1"/>
    </row>
    <row r="35" spans="1:9" ht="14" customHeight="1">
      <c r="A35" s="1"/>
      <c r="B35" s="3" t="s">
        <v>31</v>
      </c>
      <c r="C35" s="3" t="s">
        <v>13</v>
      </c>
      <c r="D35" s="19" t="s">
        <v>32</v>
      </c>
      <c r="E35" s="19" t="s">
        <v>33</v>
      </c>
      <c r="F35" s="19"/>
      <c r="G35" s="1"/>
      <c r="H35" s="1"/>
      <c r="I35" s="1"/>
    </row>
    <row r="36" spans="1:9" ht="40" customHeight="1">
      <c r="A36" s="1"/>
      <c r="B36" s="1"/>
      <c r="C36" s="1"/>
      <c r="D36" s="19"/>
      <c r="E36" s="19"/>
      <c r="F36" s="19"/>
      <c r="G36" s="1"/>
      <c r="H36" s="1"/>
      <c r="I36" s="1"/>
    </row>
    <row r="37" spans="1:9" ht="14" customHeight="1">
      <c r="A37" s="1"/>
      <c r="B37" s="1"/>
      <c r="C37" s="1"/>
      <c r="D37" s="1"/>
      <c r="E37" s="19"/>
      <c r="F37" s="19"/>
      <c r="G37" s="1"/>
      <c r="H37" s="1"/>
      <c r="I37" s="1"/>
    </row>
    <row r="38" spans="1:9" ht="1" customHeight="1">
      <c r="A38" s="1"/>
      <c r="B38" s="20"/>
      <c r="C38" s="20"/>
      <c r="D38" s="20"/>
      <c r="E38" s="20"/>
      <c r="F38" s="20"/>
      <c r="G38" s="20"/>
      <c r="H38" s="20"/>
      <c r="I38" s="1"/>
    </row>
    <row r="39" spans="1:9" ht="14" customHeight="1">
      <c r="A39" s="1"/>
      <c r="B39" s="3" t="s">
        <v>34</v>
      </c>
      <c r="C39" s="3" t="s">
        <v>13</v>
      </c>
      <c r="D39" s="19" t="s">
        <v>35</v>
      </c>
      <c r="E39" s="19" t="s">
        <v>36</v>
      </c>
      <c r="F39" s="19"/>
      <c r="G39" s="1"/>
      <c r="H39" s="1"/>
      <c r="I39" s="1"/>
    </row>
    <row r="40" spans="1:9" ht="54" customHeight="1">
      <c r="A40" s="1"/>
      <c r="B40" s="1"/>
      <c r="C40" s="1"/>
      <c r="D40" s="19"/>
      <c r="E40" s="19"/>
      <c r="F40" s="19"/>
      <c r="G40" s="1"/>
      <c r="H40" s="1"/>
      <c r="I40" s="1"/>
    </row>
    <row r="41" spans="1:9" ht="27" customHeight="1">
      <c r="A41" s="1"/>
      <c r="B41" s="1"/>
      <c r="C41" s="1"/>
      <c r="D41" s="1"/>
      <c r="E41" s="19"/>
      <c r="F41" s="19"/>
      <c r="G41" s="1"/>
      <c r="H41" s="1"/>
      <c r="I41" s="1"/>
    </row>
    <row r="42" spans="1:9" ht="1" customHeight="1">
      <c r="A42" s="1"/>
      <c r="B42" s="20"/>
      <c r="C42" s="20"/>
      <c r="D42" s="20"/>
      <c r="E42" s="20"/>
      <c r="F42" s="20"/>
      <c r="G42" s="20"/>
      <c r="H42" s="20"/>
      <c r="I42" s="1"/>
    </row>
    <row r="43" spans="1:9" ht="14" customHeight="1">
      <c r="A43" s="1"/>
      <c r="B43" s="3" t="s">
        <v>37</v>
      </c>
      <c r="C43" s="3" t="s">
        <v>13</v>
      </c>
      <c r="D43" s="19" t="s">
        <v>38</v>
      </c>
      <c r="E43" s="19" t="s">
        <v>39</v>
      </c>
      <c r="F43" s="19"/>
      <c r="G43" s="1"/>
      <c r="H43" s="1"/>
      <c r="I43" s="1"/>
    </row>
    <row r="44" spans="1:9" ht="26" customHeight="1">
      <c r="A44" s="1"/>
      <c r="B44" s="1"/>
      <c r="C44" s="1"/>
      <c r="D44" s="19"/>
      <c r="E44" s="19"/>
      <c r="F44" s="19"/>
      <c r="G44" s="1"/>
      <c r="H44" s="1"/>
      <c r="I44" s="1"/>
    </row>
    <row r="45" spans="1:9" ht="1" customHeight="1">
      <c r="A45" s="1"/>
      <c r="B45" s="20"/>
      <c r="C45" s="20"/>
      <c r="D45" s="20"/>
      <c r="E45" s="20"/>
      <c r="F45" s="20"/>
      <c r="G45" s="20"/>
      <c r="H45" s="20"/>
      <c r="I45" s="1"/>
    </row>
    <row r="46" spans="1:9" ht="14" customHeight="1">
      <c r="A46" s="1"/>
      <c r="B46" s="3" t="s">
        <v>40</v>
      </c>
      <c r="C46" s="3" t="s">
        <v>13</v>
      </c>
      <c r="D46" s="19" t="s">
        <v>41</v>
      </c>
      <c r="E46" s="19" t="s">
        <v>42</v>
      </c>
      <c r="F46" s="19"/>
      <c r="G46" s="1"/>
      <c r="H46" s="1"/>
      <c r="I46" s="1"/>
    </row>
    <row r="47" spans="1:9" ht="26" customHeight="1">
      <c r="A47" s="1"/>
      <c r="B47" s="1"/>
      <c r="C47" s="1"/>
      <c r="D47" s="19"/>
      <c r="E47" s="19"/>
      <c r="F47" s="19"/>
      <c r="G47" s="1"/>
      <c r="H47" s="1"/>
      <c r="I47" s="1"/>
    </row>
    <row r="48" spans="1:9" ht="14" customHeight="1">
      <c r="A48" s="1"/>
      <c r="B48" s="1"/>
      <c r="C48" s="1"/>
      <c r="D48" s="1"/>
      <c r="E48" s="19"/>
      <c r="F48" s="19"/>
      <c r="G48" s="1"/>
      <c r="H48" s="1"/>
      <c r="I48" s="1"/>
    </row>
    <row r="49" spans="1:9" ht="1" customHeight="1">
      <c r="A49" s="1"/>
      <c r="B49" s="20"/>
      <c r="C49" s="20"/>
      <c r="D49" s="20"/>
      <c r="E49" s="20"/>
      <c r="F49" s="20"/>
      <c r="G49" s="20"/>
      <c r="H49" s="20"/>
      <c r="I49" s="1"/>
    </row>
    <row r="50" spans="1:9" ht="14" customHeight="1">
      <c r="A50" s="1"/>
      <c r="B50" s="3" t="s">
        <v>43</v>
      </c>
      <c r="C50" s="3" t="s">
        <v>13</v>
      </c>
      <c r="D50" s="19" t="s">
        <v>44</v>
      </c>
      <c r="E50" s="19" t="s">
        <v>45</v>
      </c>
      <c r="F50" s="19"/>
      <c r="G50" s="1"/>
      <c r="H50" s="1"/>
      <c r="I50" s="1"/>
    </row>
    <row r="51" spans="1:9" ht="13" customHeight="1">
      <c r="A51" s="1"/>
      <c r="B51" s="1"/>
      <c r="C51" s="1"/>
      <c r="D51" s="19"/>
      <c r="E51" s="19"/>
      <c r="F51" s="19"/>
      <c r="G51" s="1"/>
      <c r="H51" s="1"/>
      <c r="I51" s="1"/>
    </row>
    <row r="52" spans="1:9" ht="9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4" customHeight="1">
      <c r="A53" s="1"/>
      <c r="B53" s="21" t="s">
        <v>46</v>
      </c>
      <c r="C53" s="21"/>
      <c r="D53" s="21"/>
      <c r="E53" s="21"/>
      <c r="F53" s="22" t="s">
        <v>47</v>
      </c>
      <c r="G53" s="22"/>
      <c r="H53" s="4" t="s">
        <v>19</v>
      </c>
      <c r="I53" s="1"/>
    </row>
    <row r="54" spans="1:9" ht="20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20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8" customHeight="1">
      <c r="A56" s="1"/>
      <c r="B56" s="23" t="s">
        <v>0</v>
      </c>
      <c r="C56" s="23"/>
      <c r="D56" s="23"/>
      <c r="E56" s="23"/>
      <c r="F56" s="23"/>
      <c r="G56" s="23"/>
      <c r="H56" s="23"/>
      <c r="I56" s="1"/>
    </row>
    <row r="57" spans="1:9" ht="22" customHeight="1">
      <c r="A57" s="1"/>
      <c r="B57" s="24" t="s">
        <v>1</v>
      </c>
      <c r="C57" s="24"/>
      <c r="D57" s="24"/>
      <c r="E57" s="24"/>
      <c r="F57" s="24"/>
      <c r="G57" s="24"/>
      <c r="H57" s="24"/>
      <c r="I57" s="1"/>
    </row>
    <row r="58" spans="1:9" ht="14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3" customHeight="1">
      <c r="A59" s="1"/>
      <c r="B59" s="25" t="s">
        <v>2</v>
      </c>
      <c r="C59" s="25"/>
      <c r="D59" s="25"/>
      <c r="E59" s="25"/>
      <c r="F59" s="25"/>
      <c r="G59" s="25"/>
      <c r="H59" s="25"/>
      <c r="I59" s="1"/>
    </row>
    <row r="60" spans="1:9" ht="10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6" customHeight="1">
      <c r="A61" s="1"/>
      <c r="B61" s="2" t="s">
        <v>3</v>
      </c>
      <c r="C61" s="2" t="s">
        <v>4</v>
      </c>
      <c r="D61" s="2" t="s">
        <v>5</v>
      </c>
      <c r="E61" s="26" t="s">
        <v>6</v>
      </c>
      <c r="F61" s="26"/>
      <c r="G61" s="27" t="s">
        <v>7</v>
      </c>
      <c r="H61" s="27"/>
      <c r="I61" s="1"/>
    </row>
    <row r="62" spans="1:9" ht="1" customHeight="1">
      <c r="A62" s="1"/>
      <c r="B62" s="28"/>
      <c r="C62" s="28"/>
      <c r="D62" s="28"/>
      <c r="E62" s="28"/>
      <c r="F62" s="28"/>
      <c r="G62" s="28"/>
      <c r="H62" s="28"/>
      <c r="I62" s="1"/>
    </row>
    <row r="63" spans="1:9" ht="3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40" customHeight="1">
      <c r="A64" s="1"/>
      <c r="B64" s="1"/>
      <c r="C64" s="1"/>
      <c r="D64" s="1"/>
      <c r="E64" s="19" t="s">
        <v>48</v>
      </c>
      <c r="F64" s="19"/>
      <c r="G64" s="1"/>
      <c r="H64" s="1"/>
      <c r="I64" s="1"/>
    </row>
    <row r="65" spans="1:9" ht="1" customHeight="1">
      <c r="A65" s="1"/>
      <c r="B65" s="20"/>
      <c r="C65" s="20"/>
      <c r="D65" s="20"/>
      <c r="E65" s="20"/>
      <c r="F65" s="20"/>
      <c r="G65" s="20"/>
      <c r="H65" s="20"/>
      <c r="I65" s="1"/>
    </row>
    <row r="66" spans="1:9" ht="14" customHeight="1">
      <c r="A66" s="1"/>
      <c r="B66" s="3" t="s">
        <v>49</v>
      </c>
      <c r="C66" s="3" t="s">
        <v>13</v>
      </c>
      <c r="D66" s="19" t="s">
        <v>50</v>
      </c>
      <c r="E66" s="19" t="s">
        <v>51</v>
      </c>
      <c r="F66" s="19"/>
      <c r="G66" s="1"/>
      <c r="H66" s="1"/>
      <c r="I66" s="1"/>
    </row>
    <row r="67" spans="1:9" ht="26" customHeight="1">
      <c r="A67" s="1"/>
      <c r="B67" s="1"/>
      <c r="C67" s="1"/>
      <c r="D67" s="19"/>
      <c r="E67" s="19"/>
      <c r="F67" s="19"/>
      <c r="G67" s="1"/>
      <c r="H67" s="1"/>
      <c r="I67" s="1"/>
    </row>
    <row r="68" spans="1:9" ht="1" customHeight="1">
      <c r="A68" s="1"/>
      <c r="B68" s="20"/>
      <c r="C68" s="20"/>
      <c r="D68" s="20"/>
      <c r="E68" s="20"/>
      <c r="F68" s="20"/>
      <c r="G68" s="20"/>
      <c r="H68" s="20"/>
      <c r="I68" s="1"/>
    </row>
    <row r="69" spans="1:9" ht="14" customHeight="1">
      <c r="A69" s="1"/>
      <c r="B69" s="3" t="s">
        <v>52</v>
      </c>
      <c r="C69" s="3" t="s">
        <v>13</v>
      </c>
      <c r="D69" s="19" t="s">
        <v>53</v>
      </c>
      <c r="E69" s="19" t="s">
        <v>54</v>
      </c>
      <c r="F69" s="19"/>
      <c r="G69" s="1"/>
      <c r="H69" s="1"/>
      <c r="I69" s="1"/>
    </row>
    <row r="70" spans="1:9" ht="40" customHeight="1">
      <c r="A70" s="1"/>
      <c r="B70" s="1"/>
      <c r="C70" s="1"/>
      <c r="D70" s="19"/>
      <c r="E70" s="19"/>
      <c r="F70" s="19"/>
      <c r="G70" s="1"/>
      <c r="H70" s="1"/>
      <c r="I70" s="1"/>
    </row>
    <row r="71" spans="1:9" ht="14" customHeight="1">
      <c r="A71" s="1"/>
      <c r="B71" s="1"/>
      <c r="C71" s="1"/>
      <c r="D71" s="1"/>
      <c r="E71" s="19"/>
      <c r="F71" s="19"/>
      <c r="G71" s="1"/>
      <c r="H71" s="1"/>
      <c r="I71" s="1"/>
    </row>
    <row r="72" spans="1:9" ht="1" customHeight="1">
      <c r="A72" s="1"/>
      <c r="B72" s="20"/>
      <c r="C72" s="20"/>
      <c r="D72" s="20"/>
      <c r="E72" s="20"/>
      <c r="F72" s="20"/>
      <c r="G72" s="20"/>
      <c r="H72" s="20"/>
      <c r="I72" s="1"/>
    </row>
    <row r="73" spans="1:9" ht="14" customHeight="1">
      <c r="A73" s="1"/>
      <c r="B73" s="3" t="s">
        <v>55</v>
      </c>
      <c r="C73" s="3" t="s">
        <v>13</v>
      </c>
      <c r="D73" s="19" t="s">
        <v>56</v>
      </c>
      <c r="E73" s="19" t="s">
        <v>57</v>
      </c>
      <c r="F73" s="19"/>
      <c r="G73" s="1"/>
      <c r="H73" s="1"/>
      <c r="I73" s="1"/>
    </row>
    <row r="74" spans="1:9" ht="13" customHeight="1">
      <c r="A74" s="1"/>
      <c r="B74" s="1"/>
      <c r="C74" s="1"/>
      <c r="D74" s="19"/>
      <c r="E74" s="19"/>
      <c r="F74" s="19"/>
      <c r="G74" s="1"/>
      <c r="H74" s="1"/>
      <c r="I74" s="1"/>
    </row>
    <row r="75" spans="1:9" ht="13" customHeight="1">
      <c r="A75" s="1"/>
      <c r="B75" s="1"/>
      <c r="C75" s="1"/>
      <c r="D75" s="1"/>
      <c r="E75" s="19"/>
      <c r="F75" s="19"/>
      <c r="G75" s="1"/>
      <c r="H75" s="1"/>
      <c r="I75" s="1"/>
    </row>
    <row r="76" spans="1:9" ht="1" customHeight="1">
      <c r="A76" s="1"/>
      <c r="B76" s="20"/>
      <c r="C76" s="20"/>
      <c r="D76" s="20"/>
      <c r="E76" s="20"/>
      <c r="F76" s="20"/>
      <c r="G76" s="20"/>
      <c r="H76" s="20"/>
      <c r="I76" s="1"/>
    </row>
    <row r="77" spans="1:9" ht="14" customHeight="1">
      <c r="A77" s="1"/>
      <c r="B77" s="3" t="s">
        <v>58</v>
      </c>
      <c r="C77" s="3" t="s">
        <v>13</v>
      </c>
      <c r="D77" s="19" t="s">
        <v>59</v>
      </c>
      <c r="E77" s="19" t="s">
        <v>60</v>
      </c>
      <c r="F77" s="19"/>
      <c r="G77" s="1"/>
      <c r="H77" s="1"/>
      <c r="I77" s="1"/>
    </row>
    <row r="78" spans="1:9" ht="40" customHeight="1">
      <c r="A78" s="1"/>
      <c r="B78" s="1"/>
      <c r="C78" s="1"/>
      <c r="D78" s="19"/>
      <c r="E78" s="19"/>
      <c r="F78" s="19"/>
      <c r="G78" s="1"/>
      <c r="H78" s="1"/>
      <c r="I78" s="1"/>
    </row>
    <row r="79" spans="1:9" ht="14" customHeight="1">
      <c r="A79" s="1"/>
      <c r="B79" s="1"/>
      <c r="C79" s="1"/>
      <c r="D79" s="1"/>
      <c r="E79" s="19"/>
      <c r="F79" s="19"/>
      <c r="G79" s="1"/>
      <c r="H79" s="1"/>
      <c r="I79" s="1"/>
    </row>
    <row r="80" spans="1:9" ht="1" customHeight="1">
      <c r="A80" s="1"/>
      <c r="B80" s="20"/>
      <c r="C80" s="20"/>
      <c r="D80" s="20"/>
      <c r="E80" s="20"/>
      <c r="F80" s="20"/>
      <c r="G80" s="20"/>
      <c r="H80" s="20"/>
      <c r="I80" s="1"/>
    </row>
    <row r="81" spans="1:9" ht="14" customHeight="1">
      <c r="A81" s="1"/>
      <c r="B81" s="3" t="s">
        <v>61</v>
      </c>
      <c r="C81" s="3" t="s">
        <v>13</v>
      </c>
      <c r="D81" s="19" t="s">
        <v>62</v>
      </c>
      <c r="E81" s="19" t="s">
        <v>63</v>
      </c>
      <c r="F81" s="19"/>
      <c r="G81" s="1"/>
      <c r="H81" s="1"/>
      <c r="I81" s="1"/>
    </row>
    <row r="82" spans="1:9" ht="13" customHeight="1">
      <c r="A82" s="1"/>
      <c r="B82" s="1"/>
      <c r="C82" s="1"/>
      <c r="D82" s="19"/>
      <c r="E82" s="19"/>
      <c r="F82" s="19"/>
      <c r="G82" s="1"/>
      <c r="H82" s="1"/>
      <c r="I82" s="1"/>
    </row>
    <row r="83" spans="1:9" ht="13" customHeight="1">
      <c r="A83" s="1"/>
      <c r="B83" s="1"/>
      <c r="C83" s="1"/>
      <c r="D83" s="1"/>
      <c r="E83" s="19"/>
      <c r="F83" s="19"/>
      <c r="G83" s="1"/>
      <c r="H83" s="1"/>
      <c r="I83" s="1"/>
    </row>
    <row r="84" spans="1:9" ht="1" customHeight="1">
      <c r="A84" s="1"/>
      <c r="B84" s="20"/>
      <c r="C84" s="20"/>
      <c r="D84" s="20"/>
      <c r="E84" s="20"/>
      <c r="F84" s="20"/>
      <c r="G84" s="20"/>
      <c r="H84" s="20"/>
      <c r="I84" s="1"/>
    </row>
    <row r="85" spans="1:9" ht="14" customHeight="1">
      <c r="A85" s="1"/>
      <c r="B85" s="3" t="s">
        <v>64</v>
      </c>
      <c r="C85" s="3" t="s">
        <v>13</v>
      </c>
      <c r="D85" s="19" t="s">
        <v>65</v>
      </c>
      <c r="E85" s="19" t="s">
        <v>66</v>
      </c>
      <c r="F85" s="19"/>
      <c r="G85" s="1"/>
      <c r="H85" s="1"/>
      <c r="I85" s="1"/>
    </row>
    <row r="86" spans="1:9" ht="26" customHeight="1">
      <c r="A86" s="1"/>
      <c r="B86" s="1"/>
      <c r="C86" s="1"/>
      <c r="D86" s="19"/>
      <c r="E86" s="19"/>
      <c r="F86" s="19"/>
      <c r="G86" s="1"/>
      <c r="H86" s="1"/>
      <c r="I86" s="1"/>
    </row>
    <row r="87" spans="1:9" ht="41" customHeight="1">
      <c r="A87" s="1"/>
      <c r="B87" s="1"/>
      <c r="C87" s="1"/>
      <c r="D87" s="1"/>
      <c r="E87" s="19"/>
      <c r="F87" s="19"/>
      <c r="G87" s="1"/>
      <c r="H87" s="1"/>
      <c r="I87" s="1"/>
    </row>
    <row r="88" spans="1:9" ht="1" customHeight="1">
      <c r="A88" s="1"/>
      <c r="B88" s="20"/>
      <c r="C88" s="20"/>
      <c r="D88" s="20"/>
      <c r="E88" s="20"/>
      <c r="F88" s="20"/>
      <c r="G88" s="20"/>
      <c r="H88" s="20"/>
      <c r="I88" s="1"/>
    </row>
    <row r="89" spans="1:9" ht="14" customHeight="1">
      <c r="A89" s="1"/>
      <c r="B89" s="3" t="s">
        <v>67</v>
      </c>
      <c r="C89" s="3" t="s">
        <v>13</v>
      </c>
      <c r="D89" s="19" t="s">
        <v>68</v>
      </c>
      <c r="E89" s="19" t="s">
        <v>69</v>
      </c>
      <c r="F89" s="19"/>
      <c r="G89" s="1"/>
      <c r="H89" s="1"/>
      <c r="I89" s="1"/>
    </row>
    <row r="90" spans="1:9" ht="26" customHeight="1">
      <c r="A90" s="1"/>
      <c r="B90" s="1"/>
      <c r="C90" s="1"/>
      <c r="D90" s="19"/>
      <c r="E90" s="19"/>
      <c r="F90" s="19"/>
      <c r="G90" s="1"/>
      <c r="H90" s="1"/>
      <c r="I90" s="1"/>
    </row>
    <row r="91" spans="1:9" ht="14" customHeight="1">
      <c r="A91" s="1"/>
      <c r="B91" s="1"/>
      <c r="C91" s="1"/>
      <c r="D91" s="19"/>
      <c r="E91" s="1"/>
      <c r="F91" s="1"/>
      <c r="G91" s="1"/>
      <c r="H91" s="1"/>
      <c r="I91" s="1"/>
    </row>
    <row r="92" spans="1:9" ht="1" customHeight="1">
      <c r="A92" s="1"/>
      <c r="B92" s="20"/>
      <c r="C92" s="20"/>
      <c r="D92" s="20"/>
      <c r="E92" s="20"/>
      <c r="F92" s="20"/>
      <c r="G92" s="20"/>
      <c r="H92" s="20"/>
      <c r="I92" s="1"/>
    </row>
    <row r="93" spans="1:9" ht="14" customHeight="1">
      <c r="A93" s="1"/>
      <c r="B93" s="3" t="s">
        <v>70</v>
      </c>
      <c r="C93" s="3" t="s">
        <v>13</v>
      </c>
      <c r="D93" s="19" t="s">
        <v>71</v>
      </c>
      <c r="E93" s="19" t="s">
        <v>72</v>
      </c>
      <c r="F93" s="19"/>
      <c r="G93" s="1"/>
      <c r="H93" s="1"/>
      <c r="I93" s="1"/>
    </row>
    <row r="94" spans="1:9" ht="40" customHeight="1">
      <c r="A94" s="1"/>
      <c r="B94" s="1"/>
      <c r="C94" s="1"/>
      <c r="D94" s="19"/>
      <c r="E94" s="19"/>
      <c r="F94" s="19"/>
      <c r="G94" s="1"/>
      <c r="H94" s="1"/>
      <c r="I94" s="1"/>
    </row>
    <row r="95" spans="1:9" ht="41" customHeight="1">
      <c r="A95" s="1"/>
      <c r="B95" s="1"/>
      <c r="C95" s="1"/>
      <c r="D95" s="1"/>
      <c r="E95" s="19"/>
      <c r="F95" s="19"/>
      <c r="G95" s="1"/>
      <c r="H95" s="1"/>
      <c r="I95" s="1"/>
    </row>
    <row r="96" spans="1:9" ht="1" customHeight="1">
      <c r="A96" s="1"/>
      <c r="B96" s="20"/>
      <c r="C96" s="20"/>
      <c r="D96" s="20"/>
      <c r="E96" s="20"/>
      <c r="F96" s="20"/>
      <c r="G96" s="20"/>
      <c r="H96" s="20"/>
      <c r="I96" s="1"/>
    </row>
    <row r="97" spans="1:9" ht="14" customHeight="1">
      <c r="A97" s="1"/>
      <c r="B97" s="3" t="s">
        <v>73</v>
      </c>
      <c r="C97" s="3" t="s">
        <v>13</v>
      </c>
      <c r="D97" s="19" t="s">
        <v>74</v>
      </c>
      <c r="E97" s="19" t="s">
        <v>75</v>
      </c>
      <c r="F97" s="19"/>
      <c r="G97" s="1"/>
      <c r="H97" s="1"/>
      <c r="I97" s="1"/>
    </row>
    <row r="98" spans="1:9" ht="54" customHeight="1">
      <c r="A98" s="1"/>
      <c r="B98" s="1"/>
      <c r="C98" s="1"/>
      <c r="D98" s="19"/>
      <c r="E98" s="19"/>
      <c r="F98" s="19"/>
      <c r="G98" s="1"/>
      <c r="H98" s="1"/>
      <c r="I98" s="1"/>
    </row>
    <row r="99" spans="1:9" ht="27" customHeight="1">
      <c r="A99" s="1"/>
      <c r="B99" s="1"/>
      <c r="C99" s="1"/>
      <c r="D99" s="1"/>
      <c r="E99" s="19"/>
      <c r="F99" s="19"/>
      <c r="G99" s="1"/>
      <c r="H99" s="1"/>
      <c r="I99" s="1"/>
    </row>
    <row r="100" spans="1:9" ht="1" customHeight="1">
      <c r="A100" s="1"/>
      <c r="B100" s="20"/>
      <c r="C100" s="20"/>
      <c r="D100" s="20"/>
      <c r="E100" s="20"/>
      <c r="F100" s="20"/>
      <c r="G100" s="20"/>
      <c r="H100" s="20"/>
      <c r="I100" s="1"/>
    </row>
    <row r="101" spans="1:9" ht="10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4" customHeight="1">
      <c r="A102" s="1"/>
      <c r="B102" s="21" t="s">
        <v>46</v>
      </c>
      <c r="C102" s="21"/>
      <c r="D102" s="21"/>
      <c r="E102" s="21"/>
      <c r="F102" s="22" t="s">
        <v>76</v>
      </c>
      <c r="G102" s="22"/>
      <c r="H102" s="4" t="s">
        <v>19</v>
      </c>
      <c r="I102" s="1"/>
    </row>
    <row r="103" spans="1:9" ht="20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20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8" customHeight="1">
      <c r="A105" s="1"/>
      <c r="B105" s="23" t="s">
        <v>0</v>
      </c>
      <c r="C105" s="23"/>
      <c r="D105" s="23"/>
      <c r="E105" s="23"/>
      <c r="F105" s="23"/>
      <c r="G105" s="23"/>
      <c r="H105" s="23"/>
      <c r="I105" s="1"/>
    </row>
    <row r="106" spans="1:9" ht="22" customHeight="1">
      <c r="A106" s="1"/>
      <c r="B106" s="24" t="s">
        <v>1</v>
      </c>
      <c r="C106" s="24"/>
      <c r="D106" s="24"/>
      <c r="E106" s="24"/>
      <c r="F106" s="24"/>
      <c r="G106" s="24"/>
      <c r="H106" s="24"/>
      <c r="I106" s="1"/>
    </row>
    <row r="107" spans="1:9" ht="14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3" customHeight="1">
      <c r="A108" s="1"/>
      <c r="B108" s="25" t="s">
        <v>2</v>
      </c>
      <c r="C108" s="25"/>
      <c r="D108" s="25"/>
      <c r="E108" s="25"/>
      <c r="F108" s="25"/>
      <c r="G108" s="25"/>
      <c r="H108" s="25"/>
      <c r="I108" s="1"/>
    </row>
    <row r="109" spans="1:9" ht="10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6" customHeight="1">
      <c r="A110" s="1"/>
      <c r="B110" s="2" t="s">
        <v>3</v>
      </c>
      <c r="C110" s="2" t="s">
        <v>4</v>
      </c>
      <c r="D110" s="2" t="s">
        <v>5</v>
      </c>
      <c r="E110" s="26" t="s">
        <v>6</v>
      </c>
      <c r="F110" s="26"/>
      <c r="G110" s="27" t="s">
        <v>7</v>
      </c>
      <c r="H110" s="27"/>
      <c r="I110" s="1"/>
    </row>
    <row r="111" spans="1:9" ht="1" customHeight="1">
      <c r="A111" s="1"/>
      <c r="B111" s="28"/>
      <c r="C111" s="28"/>
      <c r="D111" s="28"/>
      <c r="E111" s="28"/>
      <c r="F111" s="28"/>
      <c r="G111" s="28"/>
      <c r="H111" s="28"/>
      <c r="I111" s="1"/>
    </row>
    <row r="112" spans="1:9" ht="3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4" customHeight="1">
      <c r="A113" s="1"/>
      <c r="B113" s="3" t="s">
        <v>77</v>
      </c>
      <c r="C113" s="3" t="s">
        <v>13</v>
      </c>
      <c r="D113" s="19" t="s">
        <v>78</v>
      </c>
      <c r="E113" s="19" t="s">
        <v>79</v>
      </c>
      <c r="F113" s="19"/>
      <c r="G113" s="1"/>
      <c r="H113" s="1"/>
      <c r="I113" s="1"/>
    </row>
    <row r="114" spans="1:9" ht="26" customHeight="1">
      <c r="A114" s="1"/>
      <c r="B114" s="1"/>
      <c r="C114" s="1"/>
      <c r="D114" s="19"/>
      <c r="E114" s="19"/>
      <c r="F114" s="19"/>
      <c r="G114" s="1"/>
      <c r="H114" s="1"/>
      <c r="I114" s="1"/>
    </row>
    <row r="115" spans="1:9" ht="14" customHeight="1">
      <c r="A115" s="1"/>
      <c r="B115" s="1"/>
      <c r="C115" s="1"/>
      <c r="D115" s="1"/>
      <c r="E115" s="19"/>
      <c r="F115" s="19"/>
      <c r="G115" s="1"/>
      <c r="H115" s="1"/>
      <c r="I115" s="1"/>
    </row>
    <row r="116" spans="1:9" ht="1" customHeight="1">
      <c r="A116" s="1"/>
      <c r="B116" s="20"/>
      <c r="C116" s="20"/>
      <c r="D116" s="20"/>
      <c r="E116" s="20"/>
      <c r="F116" s="20"/>
      <c r="G116" s="20"/>
      <c r="H116" s="20"/>
      <c r="I116" s="1"/>
    </row>
    <row r="117" spans="1:9" ht="14" customHeight="1">
      <c r="A117" s="1"/>
      <c r="B117" s="3" t="s">
        <v>80</v>
      </c>
      <c r="C117" s="3" t="s">
        <v>13</v>
      </c>
      <c r="D117" s="19" t="s">
        <v>81</v>
      </c>
      <c r="E117" s="19" t="s">
        <v>82</v>
      </c>
      <c r="F117" s="19"/>
      <c r="G117" s="1"/>
      <c r="H117" s="1"/>
      <c r="I117" s="1"/>
    </row>
    <row r="118" spans="1:9" ht="26" customHeight="1">
      <c r="A118" s="1"/>
      <c r="B118" s="1"/>
      <c r="C118" s="1"/>
      <c r="D118" s="19"/>
      <c r="E118" s="19"/>
      <c r="F118" s="19"/>
      <c r="G118" s="1"/>
      <c r="H118" s="1"/>
      <c r="I118" s="1"/>
    </row>
    <row r="119" spans="1:9" ht="14" customHeight="1">
      <c r="A119" s="1"/>
      <c r="B119" s="1"/>
      <c r="C119" s="1"/>
      <c r="D119" s="1"/>
      <c r="E119" s="19"/>
      <c r="F119" s="19"/>
      <c r="G119" s="1"/>
      <c r="H119" s="1"/>
      <c r="I119" s="1"/>
    </row>
    <row r="120" spans="1:9" ht="1" customHeight="1">
      <c r="A120" s="1"/>
      <c r="B120" s="20"/>
      <c r="C120" s="20"/>
      <c r="D120" s="20"/>
      <c r="E120" s="20"/>
      <c r="F120" s="20"/>
      <c r="G120" s="20"/>
      <c r="H120" s="20"/>
      <c r="I120" s="1"/>
    </row>
    <row r="121" spans="1:9" ht="14" customHeight="1">
      <c r="A121" s="1"/>
      <c r="B121" s="3" t="s">
        <v>83</v>
      </c>
      <c r="C121" s="3" t="s">
        <v>13</v>
      </c>
      <c r="D121" s="19" t="s">
        <v>84</v>
      </c>
      <c r="E121" s="19" t="s">
        <v>85</v>
      </c>
      <c r="F121" s="19"/>
      <c r="G121" s="1"/>
      <c r="H121" s="1"/>
      <c r="I121" s="1"/>
    </row>
    <row r="122" spans="1:9" ht="26" customHeight="1">
      <c r="A122" s="1"/>
      <c r="B122" s="1"/>
      <c r="C122" s="1"/>
      <c r="D122" s="19"/>
      <c r="E122" s="19"/>
      <c r="F122" s="19"/>
      <c r="G122" s="1"/>
      <c r="H122" s="1"/>
      <c r="I122" s="1"/>
    </row>
    <row r="123" spans="1:9" ht="1" customHeight="1">
      <c r="A123" s="1"/>
      <c r="B123" s="20"/>
      <c r="C123" s="20"/>
      <c r="D123" s="20"/>
      <c r="E123" s="20"/>
      <c r="F123" s="20"/>
      <c r="G123" s="20"/>
      <c r="H123" s="20"/>
      <c r="I123" s="1"/>
    </row>
    <row r="124" spans="1:9" ht="14" customHeight="1">
      <c r="A124" s="1"/>
      <c r="B124" s="3" t="s">
        <v>86</v>
      </c>
      <c r="C124" s="3" t="s">
        <v>13</v>
      </c>
      <c r="D124" s="19" t="s">
        <v>87</v>
      </c>
      <c r="E124" s="19" t="s">
        <v>88</v>
      </c>
      <c r="F124" s="19"/>
      <c r="G124" s="1"/>
      <c r="H124" s="1"/>
      <c r="I124" s="1"/>
    </row>
    <row r="125" spans="1:9" ht="26" customHeight="1">
      <c r="A125" s="1"/>
      <c r="B125" s="1"/>
      <c r="C125" s="1"/>
      <c r="D125" s="19"/>
      <c r="E125" s="19"/>
      <c r="F125" s="19"/>
      <c r="G125" s="1"/>
      <c r="H125" s="1"/>
      <c r="I125" s="1"/>
    </row>
    <row r="126" spans="1:9" ht="14" customHeight="1">
      <c r="A126" s="1"/>
      <c r="B126" s="1"/>
      <c r="C126" s="1"/>
      <c r="D126" s="1"/>
      <c r="E126" s="19"/>
      <c r="F126" s="19"/>
      <c r="G126" s="1"/>
      <c r="H126" s="1"/>
      <c r="I126" s="1"/>
    </row>
    <row r="127" spans="1:9" ht="1" customHeight="1">
      <c r="A127" s="1"/>
      <c r="B127" s="20"/>
      <c r="C127" s="20"/>
      <c r="D127" s="20"/>
      <c r="E127" s="20"/>
      <c r="F127" s="20"/>
      <c r="G127" s="20"/>
      <c r="H127" s="20"/>
      <c r="I127" s="1"/>
    </row>
    <row r="128" spans="1:9" ht="14" customHeight="1">
      <c r="A128" s="1"/>
      <c r="B128" s="3" t="s">
        <v>89</v>
      </c>
      <c r="C128" s="3" t="s">
        <v>13</v>
      </c>
      <c r="D128" s="19" t="s">
        <v>90</v>
      </c>
      <c r="E128" s="19" t="s">
        <v>91</v>
      </c>
      <c r="F128" s="19"/>
      <c r="G128" s="1"/>
      <c r="H128" s="1"/>
      <c r="I128" s="1"/>
    </row>
    <row r="129" spans="1:9" ht="13" customHeight="1">
      <c r="A129" s="1"/>
      <c r="B129" s="1"/>
      <c r="C129" s="1"/>
      <c r="D129" s="19"/>
      <c r="E129" s="19"/>
      <c r="F129" s="19"/>
      <c r="G129" s="1"/>
      <c r="H129" s="1"/>
      <c r="I129" s="1"/>
    </row>
    <row r="130" spans="1:9" ht="13" customHeight="1">
      <c r="A130" s="1"/>
      <c r="B130" s="1"/>
      <c r="C130" s="1"/>
      <c r="D130" s="1"/>
      <c r="E130" s="19"/>
      <c r="F130" s="19"/>
      <c r="G130" s="1"/>
      <c r="H130" s="1"/>
      <c r="I130" s="1"/>
    </row>
    <row r="131" spans="1:9" ht="1" customHeight="1">
      <c r="A131" s="1"/>
      <c r="B131" s="20"/>
      <c r="C131" s="20"/>
      <c r="D131" s="20"/>
      <c r="E131" s="20"/>
      <c r="F131" s="20"/>
      <c r="G131" s="20"/>
      <c r="H131" s="20"/>
      <c r="I131" s="1"/>
    </row>
    <row r="132" spans="1:9" ht="14" customHeight="1">
      <c r="A132" s="1"/>
      <c r="B132" s="3" t="s">
        <v>92</v>
      </c>
      <c r="C132" s="3" t="s">
        <v>13</v>
      </c>
      <c r="D132" s="19" t="s">
        <v>93</v>
      </c>
      <c r="E132" s="19" t="s">
        <v>94</v>
      </c>
      <c r="F132" s="19"/>
      <c r="G132" s="1"/>
      <c r="H132" s="1"/>
      <c r="I132" s="1"/>
    </row>
    <row r="133" spans="1:9" ht="13" customHeight="1">
      <c r="A133" s="1"/>
      <c r="B133" s="1"/>
      <c r="C133" s="1"/>
      <c r="D133" s="19"/>
      <c r="E133" s="19"/>
      <c r="F133" s="19"/>
      <c r="G133" s="1"/>
      <c r="H133" s="1"/>
      <c r="I133" s="1"/>
    </row>
    <row r="134" spans="1:9" ht="13" customHeight="1">
      <c r="A134" s="1"/>
      <c r="B134" s="1"/>
      <c r="C134" s="1"/>
      <c r="D134" s="1"/>
      <c r="E134" s="19"/>
      <c r="F134" s="19"/>
      <c r="G134" s="1"/>
      <c r="H134" s="1"/>
      <c r="I134" s="1"/>
    </row>
    <row r="135" spans="1:9" ht="1" customHeight="1">
      <c r="A135" s="1"/>
      <c r="B135" s="20"/>
      <c r="C135" s="20"/>
      <c r="D135" s="20"/>
      <c r="E135" s="20"/>
      <c r="F135" s="20"/>
      <c r="G135" s="20"/>
      <c r="H135" s="20"/>
      <c r="I135" s="1"/>
    </row>
    <row r="136" spans="1:9" ht="14" customHeight="1">
      <c r="A136" s="1"/>
      <c r="B136" s="3" t="s">
        <v>95</v>
      </c>
      <c r="C136" s="3" t="s">
        <v>96</v>
      </c>
      <c r="D136" s="19" t="s">
        <v>97</v>
      </c>
      <c r="E136" s="19" t="s">
        <v>98</v>
      </c>
      <c r="F136" s="19"/>
      <c r="G136" s="1"/>
      <c r="H136" s="1"/>
      <c r="I136" s="1"/>
    </row>
    <row r="137" spans="1:9" ht="40" customHeight="1">
      <c r="A137" s="1"/>
      <c r="B137" s="1"/>
      <c r="C137" s="1"/>
      <c r="D137" s="19"/>
      <c r="E137" s="19"/>
      <c r="F137" s="19"/>
      <c r="G137" s="1"/>
      <c r="H137" s="1"/>
      <c r="I137" s="1"/>
    </row>
    <row r="138" spans="1:9" ht="27" customHeight="1">
      <c r="A138" s="1"/>
      <c r="B138" s="1"/>
      <c r="C138" s="1"/>
      <c r="D138" s="1"/>
      <c r="E138" s="19"/>
      <c r="F138" s="19"/>
      <c r="G138" s="1"/>
      <c r="H138" s="1"/>
      <c r="I138" s="1"/>
    </row>
    <row r="139" spans="1:9" ht="1" customHeight="1">
      <c r="A139" s="1"/>
      <c r="B139" s="20"/>
      <c r="C139" s="20"/>
      <c r="D139" s="20"/>
      <c r="E139" s="20"/>
      <c r="F139" s="20"/>
      <c r="G139" s="20"/>
      <c r="H139" s="20"/>
      <c r="I139" s="1"/>
    </row>
    <row r="140" spans="1:9" ht="14" customHeight="1">
      <c r="A140" s="1"/>
      <c r="B140" s="3" t="s">
        <v>99</v>
      </c>
      <c r="C140" s="3" t="s">
        <v>96</v>
      </c>
      <c r="D140" s="19" t="s">
        <v>100</v>
      </c>
      <c r="E140" s="19" t="s">
        <v>101</v>
      </c>
      <c r="F140" s="19"/>
      <c r="G140" s="1"/>
      <c r="H140" s="1"/>
      <c r="I140" s="1"/>
    </row>
    <row r="141" spans="1:9" ht="40" customHeight="1">
      <c r="A141" s="1"/>
      <c r="B141" s="1"/>
      <c r="C141" s="1"/>
      <c r="D141" s="19"/>
      <c r="E141" s="19"/>
      <c r="F141" s="19"/>
      <c r="G141" s="1"/>
      <c r="H141" s="1"/>
      <c r="I141" s="1"/>
    </row>
    <row r="142" spans="1:9" ht="14" customHeight="1">
      <c r="A142" s="1"/>
      <c r="B142" s="1"/>
      <c r="C142" s="1"/>
      <c r="D142" s="1"/>
      <c r="E142" s="19"/>
      <c r="F142" s="19"/>
      <c r="G142" s="1"/>
      <c r="H142" s="1"/>
      <c r="I142" s="1"/>
    </row>
    <row r="143" spans="1:9" ht="1" customHeight="1">
      <c r="A143" s="1"/>
      <c r="B143" s="20"/>
      <c r="C143" s="20"/>
      <c r="D143" s="20"/>
      <c r="E143" s="20"/>
      <c r="F143" s="20"/>
      <c r="G143" s="20"/>
      <c r="H143" s="20"/>
      <c r="I143" s="1"/>
    </row>
    <row r="144" spans="1:9" ht="14" customHeight="1">
      <c r="A144" s="1"/>
      <c r="B144" s="3" t="s">
        <v>102</v>
      </c>
      <c r="C144" s="3" t="s">
        <v>96</v>
      </c>
      <c r="D144" s="19" t="s">
        <v>103</v>
      </c>
      <c r="E144" s="19" t="s">
        <v>104</v>
      </c>
      <c r="F144" s="19"/>
      <c r="G144" s="1"/>
      <c r="H144" s="1"/>
      <c r="I144" s="1"/>
    </row>
    <row r="145" spans="1:9" ht="40" customHeight="1">
      <c r="A145" s="1"/>
      <c r="B145" s="1"/>
      <c r="C145" s="1"/>
      <c r="D145" s="19"/>
      <c r="E145" s="19"/>
      <c r="F145" s="19"/>
      <c r="G145" s="1"/>
      <c r="H145" s="1"/>
      <c r="I145" s="1"/>
    </row>
    <row r="146" spans="1:9" ht="14" customHeight="1">
      <c r="A146" s="1"/>
      <c r="B146" s="1"/>
      <c r="C146" s="1"/>
      <c r="D146" s="1"/>
      <c r="E146" s="19"/>
      <c r="F146" s="19"/>
      <c r="G146" s="1"/>
      <c r="H146" s="1"/>
      <c r="I146" s="1"/>
    </row>
    <row r="147" spans="1:9" ht="1" customHeight="1">
      <c r="A147" s="1"/>
      <c r="B147" s="20"/>
      <c r="C147" s="20"/>
      <c r="D147" s="20"/>
      <c r="E147" s="20"/>
      <c r="F147" s="20"/>
      <c r="G147" s="20"/>
      <c r="H147" s="20"/>
      <c r="I147" s="1"/>
    </row>
    <row r="148" spans="1:9" ht="14" customHeight="1">
      <c r="A148" s="1"/>
      <c r="B148" s="3" t="s">
        <v>105</v>
      </c>
      <c r="C148" s="3" t="s">
        <v>96</v>
      </c>
      <c r="D148" s="19" t="s">
        <v>106</v>
      </c>
      <c r="E148" s="19" t="s">
        <v>107</v>
      </c>
      <c r="F148" s="19"/>
      <c r="G148" s="1"/>
      <c r="H148" s="1"/>
      <c r="I148" s="1"/>
    </row>
    <row r="149" spans="1:9" ht="67" customHeight="1">
      <c r="A149" s="1"/>
      <c r="B149" s="1"/>
      <c r="C149" s="1"/>
      <c r="D149" s="19"/>
      <c r="E149" s="19"/>
      <c r="F149" s="19"/>
      <c r="G149" s="1"/>
      <c r="H149" s="1"/>
      <c r="I149" s="1"/>
    </row>
    <row r="150" spans="1:9" ht="41" customHeight="1">
      <c r="A150" s="1"/>
      <c r="B150" s="1"/>
      <c r="C150" s="1"/>
      <c r="D150" s="1"/>
      <c r="E150" s="19"/>
      <c r="F150" s="19"/>
      <c r="G150" s="1"/>
      <c r="H150" s="1"/>
      <c r="I150" s="1"/>
    </row>
    <row r="151" spans="1:9" ht="11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4" customHeight="1">
      <c r="A152" s="1"/>
      <c r="B152" s="21" t="s">
        <v>46</v>
      </c>
      <c r="C152" s="21"/>
      <c r="D152" s="21"/>
      <c r="E152" s="21"/>
      <c r="F152" s="22" t="s">
        <v>108</v>
      </c>
      <c r="G152" s="22"/>
      <c r="H152" s="4" t="s">
        <v>19</v>
      </c>
      <c r="I152" s="1"/>
    </row>
    <row r="153" spans="1:9" ht="20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0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8" customHeight="1">
      <c r="A155" s="1"/>
      <c r="B155" s="23" t="s">
        <v>0</v>
      </c>
      <c r="C155" s="23"/>
      <c r="D155" s="23"/>
      <c r="E155" s="23"/>
      <c r="F155" s="23"/>
      <c r="G155" s="23"/>
      <c r="H155" s="23"/>
      <c r="I155" s="1"/>
    </row>
    <row r="156" spans="1:9" ht="22" customHeight="1">
      <c r="A156" s="1"/>
      <c r="B156" s="24" t="s">
        <v>1</v>
      </c>
      <c r="C156" s="24"/>
      <c r="D156" s="24"/>
      <c r="E156" s="24"/>
      <c r="F156" s="24"/>
      <c r="G156" s="24"/>
      <c r="H156" s="24"/>
      <c r="I156" s="1"/>
    </row>
    <row r="157" spans="1:9" ht="14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3" customHeight="1">
      <c r="A158" s="1"/>
      <c r="B158" s="25" t="s">
        <v>2</v>
      </c>
      <c r="C158" s="25"/>
      <c r="D158" s="25"/>
      <c r="E158" s="25"/>
      <c r="F158" s="25"/>
      <c r="G158" s="25"/>
      <c r="H158" s="25"/>
      <c r="I158" s="1"/>
    </row>
    <row r="159" spans="1:9" ht="10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6" customHeight="1">
      <c r="A160" s="1"/>
      <c r="B160" s="2" t="s">
        <v>3</v>
      </c>
      <c r="C160" s="2" t="s">
        <v>4</v>
      </c>
      <c r="D160" s="2" t="s">
        <v>5</v>
      </c>
      <c r="E160" s="26" t="s">
        <v>6</v>
      </c>
      <c r="F160" s="26"/>
      <c r="G160" s="27" t="s">
        <v>7</v>
      </c>
      <c r="H160" s="27"/>
      <c r="I160" s="1"/>
    </row>
    <row r="161" spans="1:9" ht="1" customHeight="1">
      <c r="A161" s="1"/>
      <c r="B161" s="28"/>
      <c r="C161" s="28"/>
      <c r="D161" s="28"/>
      <c r="E161" s="28"/>
      <c r="F161" s="28"/>
      <c r="G161" s="28"/>
      <c r="H161" s="28"/>
      <c r="I161" s="1"/>
    </row>
    <row r="162" spans="1:9" ht="3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40" customHeight="1">
      <c r="A163" s="1"/>
      <c r="B163" s="1"/>
      <c r="C163" s="1"/>
      <c r="D163" s="1"/>
      <c r="E163" s="19" t="s">
        <v>109</v>
      </c>
      <c r="F163" s="19"/>
      <c r="G163" s="1"/>
      <c r="H163" s="1"/>
      <c r="I163" s="1"/>
    </row>
    <row r="164" spans="1:9" ht="1" customHeight="1">
      <c r="A164" s="1"/>
      <c r="B164" s="20"/>
      <c r="C164" s="20"/>
      <c r="D164" s="20"/>
      <c r="E164" s="20"/>
      <c r="F164" s="20"/>
      <c r="G164" s="20"/>
      <c r="H164" s="20"/>
      <c r="I164" s="1"/>
    </row>
    <row r="165" spans="1:9" ht="409.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4" customHeight="1">
      <c r="A166" s="1"/>
      <c r="B166" s="21" t="s">
        <v>46</v>
      </c>
      <c r="C166" s="21"/>
      <c r="D166" s="21"/>
      <c r="E166" s="21"/>
      <c r="F166" s="22" t="s">
        <v>110</v>
      </c>
      <c r="G166" s="22"/>
      <c r="H166" s="4" t="s">
        <v>19</v>
      </c>
      <c r="I166" s="1"/>
    </row>
    <row r="167" spans="1:9" ht="20" customHeight="1">
      <c r="A167" s="1"/>
      <c r="B167" s="1"/>
      <c r="C167" s="1"/>
      <c r="D167" s="1"/>
      <c r="E167" s="1"/>
      <c r="F167" s="1"/>
      <c r="G167" s="1"/>
      <c r="H167" s="1"/>
      <c r="I167" s="1"/>
    </row>
  </sheetData>
  <mergeCells count="126">
    <mergeCell ref="B2:H2"/>
    <mergeCell ref="B3:H3"/>
    <mergeCell ref="B5:H5"/>
    <mergeCell ref="E7:F7"/>
    <mergeCell ref="G7:H7"/>
    <mergeCell ref="B8:H8"/>
    <mergeCell ref="B18:H18"/>
    <mergeCell ref="D19:D20"/>
    <mergeCell ref="E19:F21"/>
    <mergeCell ref="B22:H22"/>
    <mergeCell ref="D23:D24"/>
    <mergeCell ref="E23:F25"/>
    <mergeCell ref="E10:F10"/>
    <mergeCell ref="G10:H10"/>
    <mergeCell ref="B11:H11"/>
    <mergeCell ref="E12:F13"/>
    <mergeCell ref="B14:H14"/>
    <mergeCell ref="D15:D16"/>
    <mergeCell ref="E15:F17"/>
    <mergeCell ref="B34:H34"/>
    <mergeCell ref="D35:D36"/>
    <mergeCell ref="E35:F37"/>
    <mergeCell ref="B38:H38"/>
    <mergeCell ref="D39:D40"/>
    <mergeCell ref="E39:F41"/>
    <mergeCell ref="B26:H26"/>
    <mergeCell ref="D27:D28"/>
    <mergeCell ref="E27:F29"/>
    <mergeCell ref="B30:H30"/>
    <mergeCell ref="D31:D32"/>
    <mergeCell ref="E31:F33"/>
    <mergeCell ref="B49:H49"/>
    <mergeCell ref="D50:D51"/>
    <mergeCell ref="E50:F51"/>
    <mergeCell ref="B53:E53"/>
    <mergeCell ref="F53:G53"/>
    <mergeCell ref="B56:H56"/>
    <mergeCell ref="B42:H42"/>
    <mergeCell ref="D43:D44"/>
    <mergeCell ref="E43:F44"/>
    <mergeCell ref="B45:H45"/>
    <mergeCell ref="D46:D47"/>
    <mergeCell ref="E46:F48"/>
    <mergeCell ref="B65:H65"/>
    <mergeCell ref="D66:D67"/>
    <mergeCell ref="E66:F67"/>
    <mergeCell ref="B68:H68"/>
    <mergeCell ref="D69:D70"/>
    <mergeCell ref="E69:F71"/>
    <mergeCell ref="B57:H57"/>
    <mergeCell ref="B59:H59"/>
    <mergeCell ref="E61:F61"/>
    <mergeCell ref="G61:H61"/>
    <mergeCell ref="B62:H62"/>
    <mergeCell ref="E64:F64"/>
    <mergeCell ref="B80:H80"/>
    <mergeCell ref="D81:D82"/>
    <mergeCell ref="E81:F83"/>
    <mergeCell ref="B84:H84"/>
    <mergeCell ref="D85:D86"/>
    <mergeCell ref="E85:F87"/>
    <mergeCell ref="B72:H72"/>
    <mergeCell ref="D73:D74"/>
    <mergeCell ref="E73:F75"/>
    <mergeCell ref="B76:H76"/>
    <mergeCell ref="D77:D78"/>
    <mergeCell ref="E77:F79"/>
    <mergeCell ref="B96:H96"/>
    <mergeCell ref="D97:D98"/>
    <mergeCell ref="E97:F99"/>
    <mergeCell ref="B100:H100"/>
    <mergeCell ref="B102:E102"/>
    <mergeCell ref="F102:G102"/>
    <mergeCell ref="B88:H88"/>
    <mergeCell ref="D89:D91"/>
    <mergeCell ref="E89:F90"/>
    <mergeCell ref="B92:H92"/>
    <mergeCell ref="D93:D94"/>
    <mergeCell ref="E93:F95"/>
    <mergeCell ref="D113:D114"/>
    <mergeCell ref="E113:F115"/>
    <mergeCell ref="B116:H116"/>
    <mergeCell ref="D117:D118"/>
    <mergeCell ref="E117:F119"/>
    <mergeCell ref="B120:H120"/>
    <mergeCell ref="B105:H105"/>
    <mergeCell ref="B106:H106"/>
    <mergeCell ref="B108:H108"/>
    <mergeCell ref="E110:F110"/>
    <mergeCell ref="G110:H110"/>
    <mergeCell ref="B111:H111"/>
    <mergeCell ref="D128:D129"/>
    <mergeCell ref="E128:F130"/>
    <mergeCell ref="B131:H131"/>
    <mergeCell ref="D132:D133"/>
    <mergeCell ref="E132:F134"/>
    <mergeCell ref="B135:H135"/>
    <mergeCell ref="D121:D122"/>
    <mergeCell ref="E121:F122"/>
    <mergeCell ref="B123:H123"/>
    <mergeCell ref="D124:D125"/>
    <mergeCell ref="E124:F126"/>
    <mergeCell ref="B127:H127"/>
    <mergeCell ref="D144:D145"/>
    <mergeCell ref="E144:F146"/>
    <mergeCell ref="B147:H147"/>
    <mergeCell ref="D148:D149"/>
    <mergeCell ref="E148:F150"/>
    <mergeCell ref="B152:E152"/>
    <mergeCell ref="F152:G152"/>
    <mergeCell ref="D136:D137"/>
    <mergeCell ref="E136:F138"/>
    <mergeCell ref="B139:H139"/>
    <mergeCell ref="D140:D141"/>
    <mergeCell ref="E140:F142"/>
    <mergeCell ref="B143:H143"/>
    <mergeCell ref="E163:F163"/>
    <mergeCell ref="B164:H164"/>
    <mergeCell ref="B166:E166"/>
    <mergeCell ref="F166:G166"/>
    <mergeCell ref="B155:H155"/>
    <mergeCell ref="B156:H156"/>
    <mergeCell ref="B158:H158"/>
    <mergeCell ref="E160:F160"/>
    <mergeCell ref="G160:H160"/>
    <mergeCell ref="B161:H161"/>
  </mergeCells>
  <hyperlinks>
    <hyperlink ref="G10" r:id="rId1" display="url" xr:uid="{A53CB4D6-0B1F-7D42-97AD-DAA0286FA99C}"/>
  </hyperlinks>
  <pageMargins left="0.41666666666666669" right="0.41666666666666669" top="0.27777777777777779" bottom="0.27777777777777779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9771-7141-CE41-ACE0-D3A2C5ECF332}">
  <dimension ref="A1:P35"/>
  <sheetViews>
    <sheetView workbookViewId="0">
      <selection activeCell="G1" sqref="G1"/>
    </sheetView>
  </sheetViews>
  <sheetFormatPr baseColWidth="10" defaultRowHeight="13"/>
  <cols>
    <col min="1" max="1" width="17.33203125" bestFit="1" customWidth="1"/>
  </cols>
  <sheetData>
    <row r="1" spans="1:16" s="11" customFormat="1" ht="32">
      <c r="A1" s="6" t="s">
        <v>219</v>
      </c>
      <c r="B1" s="6" t="s">
        <v>220</v>
      </c>
      <c r="C1" s="6" t="s">
        <v>221</v>
      </c>
      <c r="D1" s="7" t="s">
        <v>222</v>
      </c>
      <c r="E1" s="7" t="s">
        <v>223</v>
      </c>
      <c r="F1" s="7" t="s">
        <v>224</v>
      </c>
      <c r="G1" s="7" t="s">
        <v>225</v>
      </c>
      <c r="H1" s="7" t="s">
        <v>226</v>
      </c>
      <c r="I1" s="7" t="s">
        <v>227</v>
      </c>
      <c r="J1" s="7" t="s">
        <v>228</v>
      </c>
      <c r="K1" s="7" t="s">
        <v>229</v>
      </c>
      <c r="L1" s="7" t="s">
        <v>230</v>
      </c>
      <c r="M1" s="7" t="s">
        <v>231</v>
      </c>
      <c r="N1" s="7" t="s">
        <v>232</v>
      </c>
      <c r="O1" s="7" t="s">
        <v>233</v>
      </c>
      <c r="P1" s="6" t="s">
        <v>234</v>
      </c>
    </row>
    <row r="2" spans="1:16" ht="15">
      <c r="A2" s="9">
        <v>100</v>
      </c>
      <c r="B2" s="9" t="s">
        <v>235</v>
      </c>
      <c r="C2" s="9" t="s">
        <v>236</v>
      </c>
      <c r="D2" s="9" t="s">
        <v>237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5">
      <c r="A3" s="9">
        <v>1</v>
      </c>
      <c r="B3" s="9" t="s">
        <v>238</v>
      </c>
      <c r="C3" s="9" t="s">
        <v>239</v>
      </c>
      <c r="D3" s="9" t="s">
        <v>237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5">
      <c r="A4" s="9">
        <v>1</v>
      </c>
      <c r="B4" s="9" t="s">
        <v>240</v>
      </c>
      <c r="C4" s="9" t="s">
        <v>241</v>
      </c>
      <c r="D4" s="9" t="s">
        <v>237</v>
      </c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237</v>
      </c>
      <c r="P4" s="9"/>
    </row>
    <row r="5" spans="1:16" ht="15">
      <c r="A5" s="9">
        <v>100</v>
      </c>
      <c r="B5" s="9" t="s">
        <v>242</v>
      </c>
      <c r="C5" s="9" t="s">
        <v>243</v>
      </c>
      <c r="D5" s="9" t="s">
        <v>237</v>
      </c>
      <c r="E5" s="9" t="s">
        <v>237</v>
      </c>
      <c r="F5" s="9" t="s">
        <v>237</v>
      </c>
      <c r="G5" s="9" t="s">
        <v>237</v>
      </c>
      <c r="H5" s="9" t="s">
        <v>237</v>
      </c>
      <c r="I5" s="9" t="s">
        <v>237</v>
      </c>
      <c r="J5" s="9"/>
      <c r="K5" s="9" t="s">
        <v>237</v>
      </c>
      <c r="L5" s="9" t="s">
        <v>237</v>
      </c>
      <c r="M5" s="9" t="s">
        <v>237</v>
      </c>
      <c r="N5" s="9" t="s">
        <v>237</v>
      </c>
      <c r="O5" s="9" t="s">
        <v>237</v>
      </c>
      <c r="P5" s="9" t="s">
        <v>237</v>
      </c>
    </row>
    <row r="6" spans="1:16" ht="15">
      <c r="A6" s="9">
        <v>1</v>
      </c>
      <c r="B6" s="9" t="s">
        <v>244</v>
      </c>
      <c r="C6" s="9" t="s">
        <v>245</v>
      </c>
      <c r="D6" s="9" t="s">
        <v>237</v>
      </c>
      <c r="E6" s="9"/>
      <c r="F6" s="9"/>
      <c r="G6" s="9" t="s">
        <v>237</v>
      </c>
      <c r="H6" s="9" t="s">
        <v>237</v>
      </c>
      <c r="I6" s="9" t="s">
        <v>237</v>
      </c>
      <c r="J6" s="9" t="s">
        <v>237</v>
      </c>
      <c r="K6" s="9" t="s">
        <v>237</v>
      </c>
      <c r="L6" s="9" t="s">
        <v>237</v>
      </c>
      <c r="M6" s="9" t="s">
        <v>237</v>
      </c>
      <c r="N6" s="9" t="s">
        <v>237</v>
      </c>
      <c r="O6" s="9" t="s">
        <v>237</v>
      </c>
      <c r="P6" s="9" t="s">
        <v>237</v>
      </c>
    </row>
    <row r="7" spans="1:16" ht="15">
      <c r="A7" s="9">
        <v>2</v>
      </c>
      <c r="B7" s="9" t="s">
        <v>246</v>
      </c>
      <c r="C7" s="9" t="s">
        <v>247</v>
      </c>
      <c r="D7" s="9"/>
      <c r="E7" s="9"/>
      <c r="F7" s="9"/>
      <c r="G7" s="9" t="s">
        <v>237</v>
      </c>
      <c r="H7" s="9" t="s">
        <v>237</v>
      </c>
      <c r="I7" s="9"/>
      <c r="J7" s="9"/>
      <c r="K7" s="9"/>
      <c r="L7" s="9"/>
      <c r="M7" s="9"/>
      <c r="N7" s="9"/>
      <c r="O7" s="9"/>
      <c r="P7" s="9"/>
    </row>
    <row r="8" spans="1:16" ht="15">
      <c r="A8" s="9">
        <v>2</v>
      </c>
      <c r="B8" s="9" t="s">
        <v>248</v>
      </c>
      <c r="C8" s="9" t="s">
        <v>249</v>
      </c>
      <c r="D8" s="9"/>
      <c r="E8" s="9"/>
      <c r="F8" s="9"/>
      <c r="G8" s="9" t="s">
        <v>237</v>
      </c>
      <c r="H8" s="9" t="s">
        <v>237</v>
      </c>
      <c r="I8" s="9"/>
      <c r="J8" s="9"/>
      <c r="K8" s="9"/>
      <c r="L8" s="9"/>
      <c r="M8" s="9"/>
      <c r="N8" s="9"/>
      <c r="O8" s="9"/>
      <c r="P8" s="9"/>
    </row>
    <row r="9" spans="1:16" ht="15">
      <c r="A9" s="9">
        <v>100</v>
      </c>
      <c r="B9" s="9" t="s">
        <v>250</v>
      </c>
      <c r="C9" s="9" t="s">
        <v>251</v>
      </c>
      <c r="D9" s="9" t="s">
        <v>237</v>
      </c>
      <c r="E9" s="9" t="s">
        <v>237</v>
      </c>
      <c r="F9" s="9" t="s">
        <v>237</v>
      </c>
      <c r="G9" s="9" t="s">
        <v>237</v>
      </c>
      <c r="H9" s="9" t="s">
        <v>237</v>
      </c>
      <c r="I9" s="9" t="s">
        <v>237</v>
      </c>
      <c r="J9" s="9"/>
      <c r="K9" s="9" t="s">
        <v>237</v>
      </c>
      <c r="L9" s="9" t="s">
        <v>237</v>
      </c>
      <c r="M9" s="9" t="s">
        <v>237</v>
      </c>
      <c r="N9" s="9" t="s">
        <v>237</v>
      </c>
      <c r="O9" s="9" t="s">
        <v>237</v>
      </c>
      <c r="P9" s="9" t="s">
        <v>237</v>
      </c>
    </row>
    <row r="10" spans="1:16" ht="15">
      <c r="A10" s="9">
        <v>100</v>
      </c>
      <c r="B10" s="9" t="s">
        <v>252</v>
      </c>
      <c r="C10" s="9" t="s">
        <v>253</v>
      </c>
      <c r="D10" s="9"/>
      <c r="E10" s="9"/>
      <c r="F10" s="9"/>
      <c r="G10" s="9"/>
      <c r="H10" s="9"/>
      <c r="I10" s="9" t="s">
        <v>237</v>
      </c>
      <c r="J10" s="9"/>
      <c r="K10" s="9"/>
      <c r="L10" s="9"/>
      <c r="M10" s="9"/>
      <c r="N10" s="9"/>
      <c r="O10" s="9"/>
      <c r="P10" s="9"/>
    </row>
    <row r="11" spans="1:16" ht="15">
      <c r="A11" s="9">
        <v>2</v>
      </c>
      <c r="B11" s="9" t="s">
        <v>254</v>
      </c>
      <c r="C11" s="9" t="s">
        <v>255</v>
      </c>
      <c r="D11" s="9"/>
      <c r="E11" s="9"/>
      <c r="F11" s="9"/>
      <c r="G11" s="9"/>
      <c r="H11" s="9"/>
      <c r="I11" s="9" t="s">
        <v>237</v>
      </c>
      <c r="J11" s="9"/>
      <c r="K11" s="9"/>
      <c r="L11" s="9"/>
      <c r="M11" s="9"/>
      <c r="N11" s="9"/>
      <c r="O11" s="9"/>
      <c r="P11" s="9" t="s">
        <v>237</v>
      </c>
    </row>
    <row r="12" spans="1:16" ht="15">
      <c r="A12" s="9">
        <v>1</v>
      </c>
      <c r="B12" s="9" t="s">
        <v>256</v>
      </c>
      <c r="C12" s="9" t="s">
        <v>257</v>
      </c>
      <c r="D12" s="9"/>
      <c r="E12" s="9"/>
      <c r="F12" s="9"/>
      <c r="G12" s="9"/>
      <c r="H12" s="9"/>
      <c r="I12" s="9" t="s">
        <v>237</v>
      </c>
      <c r="J12" s="9"/>
      <c r="K12" s="9"/>
      <c r="L12" s="9"/>
      <c r="M12" s="9"/>
      <c r="N12" s="9"/>
      <c r="O12" s="9"/>
      <c r="P12" s="9" t="s">
        <v>237</v>
      </c>
    </row>
    <row r="13" spans="1:16" ht="15">
      <c r="A13" s="9">
        <v>1</v>
      </c>
      <c r="B13" s="9" t="s">
        <v>258</v>
      </c>
      <c r="C13" s="9" t="s">
        <v>259</v>
      </c>
      <c r="D13" s="9"/>
      <c r="E13" s="9"/>
      <c r="F13" s="9"/>
      <c r="G13" s="9"/>
      <c r="H13" s="9"/>
      <c r="I13" s="9" t="s">
        <v>237</v>
      </c>
      <c r="J13" s="9"/>
      <c r="K13" s="9"/>
      <c r="L13" s="9"/>
      <c r="M13" s="9"/>
      <c r="N13" s="9"/>
      <c r="O13" s="9"/>
      <c r="P13" s="9" t="s">
        <v>237</v>
      </c>
    </row>
    <row r="14" spans="1:16" ht="15">
      <c r="A14" s="9">
        <v>100</v>
      </c>
      <c r="B14" s="9" t="s">
        <v>260</v>
      </c>
      <c r="C14" s="9" t="s">
        <v>261</v>
      </c>
      <c r="D14" s="9"/>
      <c r="E14" s="9"/>
      <c r="F14" s="9"/>
      <c r="G14" s="9"/>
      <c r="H14" s="9"/>
      <c r="I14" s="9"/>
      <c r="J14" s="9" t="s">
        <v>237</v>
      </c>
      <c r="K14" s="9"/>
      <c r="L14" s="9"/>
      <c r="M14" s="9"/>
      <c r="N14" s="9"/>
      <c r="O14" s="9"/>
      <c r="P14" s="9"/>
    </row>
    <row r="15" spans="1:16" ht="15">
      <c r="A15" s="9">
        <v>5</v>
      </c>
      <c r="B15" s="9" t="s">
        <v>262</v>
      </c>
      <c r="C15" s="9" t="s">
        <v>263</v>
      </c>
      <c r="D15" s="9"/>
      <c r="E15" s="9"/>
      <c r="F15" s="9"/>
      <c r="G15" s="9"/>
      <c r="H15" s="9"/>
      <c r="I15" s="9" t="s">
        <v>237</v>
      </c>
      <c r="J15" s="9" t="s">
        <v>237</v>
      </c>
      <c r="K15" s="9" t="s">
        <v>237</v>
      </c>
      <c r="L15" s="9" t="s">
        <v>237</v>
      </c>
      <c r="M15" s="9" t="s">
        <v>237</v>
      </c>
      <c r="N15" s="9" t="s">
        <v>237</v>
      </c>
      <c r="O15" s="9" t="s">
        <v>237</v>
      </c>
      <c r="P15" s="9"/>
    </row>
    <row r="16" spans="1:16" ht="15">
      <c r="A16" s="9">
        <v>2</v>
      </c>
      <c r="B16" s="9" t="s">
        <v>264</v>
      </c>
      <c r="C16" s="9" t="s">
        <v>265</v>
      </c>
      <c r="D16" s="9"/>
      <c r="E16" s="9"/>
      <c r="F16" s="9"/>
      <c r="G16" s="9"/>
      <c r="H16" s="9"/>
      <c r="I16" s="9" t="s">
        <v>237</v>
      </c>
      <c r="J16" s="9" t="s">
        <v>237</v>
      </c>
      <c r="K16" s="9" t="s">
        <v>237</v>
      </c>
      <c r="L16" s="9" t="s">
        <v>237</v>
      </c>
      <c r="M16" s="9" t="s">
        <v>237</v>
      </c>
      <c r="N16" s="9" t="s">
        <v>237</v>
      </c>
      <c r="O16" s="9" t="s">
        <v>237</v>
      </c>
      <c r="P16" s="9"/>
    </row>
    <row r="17" spans="1:16" ht="15">
      <c r="A17" s="9">
        <v>1</v>
      </c>
      <c r="B17" s="9" t="s">
        <v>266</v>
      </c>
      <c r="C17" s="9" t="s">
        <v>267</v>
      </c>
      <c r="D17" s="9"/>
      <c r="E17" s="9"/>
      <c r="F17" s="9"/>
      <c r="G17" s="9"/>
      <c r="H17" s="9"/>
      <c r="I17" s="9" t="s">
        <v>237</v>
      </c>
      <c r="J17" s="9" t="s">
        <v>237</v>
      </c>
      <c r="K17" s="9" t="s">
        <v>237</v>
      </c>
      <c r="L17" s="9" t="s">
        <v>237</v>
      </c>
      <c r="M17" s="9" t="s">
        <v>237</v>
      </c>
      <c r="N17" s="9" t="s">
        <v>237</v>
      </c>
      <c r="O17" s="9" t="s">
        <v>237</v>
      </c>
      <c r="P17" s="9"/>
    </row>
    <row r="18" spans="1:16" ht="15">
      <c r="A18" s="9">
        <v>2</v>
      </c>
      <c r="B18" s="9" t="s">
        <v>268</v>
      </c>
      <c r="C18" s="9" t="s">
        <v>269</v>
      </c>
      <c r="D18" s="9"/>
      <c r="E18" s="9"/>
      <c r="F18" s="9"/>
      <c r="G18" s="9"/>
      <c r="H18" s="9"/>
      <c r="I18" s="9" t="s">
        <v>237</v>
      </c>
      <c r="J18" s="9" t="s">
        <v>237</v>
      </c>
      <c r="K18" s="9" t="s">
        <v>237</v>
      </c>
      <c r="L18" s="9" t="s">
        <v>237</v>
      </c>
      <c r="M18" s="9" t="s">
        <v>237</v>
      </c>
      <c r="N18" s="9" t="s">
        <v>237</v>
      </c>
      <c r="O18" s="9" t="s">
        <v>237</v>
      </c>
      <c r="P18" s="9"/>
    </row>
    <row r="19" spans="1:16" ht="15">
      <c r="A19" s="9">
        <v>1</v>
      </c>
      <c r="B19" s="9" t="s">
        <v>270</v>
      </c>
      <c r="C19" s="9" t="s">
        <v>271</v>
      </c>
      <c r="D19" s="9"/>
      <c r="E19" s="9"/>
      <c r="F19" s="9"/>
      <c r="G19" s="9"/>
      <c r="H19" s="9"/>
      <c r="I19" s="9" t="s">
        <v>237</v>
      </c>
      <c r="J19" s="9" t="s">
        <v>237</v>
      </c>
      <c r="K19" s="9" t="s">
        <v>237</v>
      </c>
      <c r="L19" s="9" t="s">
        <v>237</v>
      </c>
      <c r="M19" s="9" t="s">
        <v>237</v>
      </c>
      <c r="N19" s="9" t="s">
        <v>237</v>
      </c>
      <c r="O19" s="9" t="s">
        <v>237</v>
      </c>
      <c r="P19" s="9"/>
    </row>
    <row r="20" spans="1:16" ht="15">
      <c r="A20" s="9">
        <v>1</v>
      </c>
      <c r="B20" s="9" t="s">
        <v>272</v>
      </c>
      <c r="C20" s="9" t="s">
        <v>273</v>
      </c>
      <c r="D20" s="9"/>
      <c r="E20" s="9"/>
      <c r="F20" s="9"/>
      <c r="G20" s="9" t="s">
        <v>237</v>
      </c>
      <c r="H20" s="9" t="s">
        <v>237</v>
      </c>
      <c r="I20" s="9" t="s">
        <v>237</v>
      </c>
      <c r="J20" s="9" t="s">
        <v>237</v>
      </c>
      <c r="K20" s="9" t="s">
        <v>237</v>
      </c>
      <c r="L20" s="9" t="s">
        <v>237</v>
      </c>
      <c r="M20" s="9" t="s">
        <v>237</v>
      </c>
      <c r="N20" s="9" t="s">
        <v>237</v>
      </c>
      <c r="O20" s="9" t="s">
        <v>237</v>
      </c>
      <c r="P20" s="9" t="s">
        <v>237</v>
      </c>
    </row>
    <row r="21" spans="1:16" ht="15">
      <c r="A21" s="9">
        <v>1</v>
      </c>
      <c r="B21" s="9" t="s">
        <v>274</v>
      </c>
      <c r="C21" s="9" t="s">
        <v>275</v>
      </c>
      <c r="D21" s="9"/>
      <c r="E21" s="9"/>
      <c r="F21" s="9"/>
      <c r="G21" s="9" t="s">
        <v>237</v>
      </c>
      <c r="H21" s="9" t="s">
        <v>237</v>
      </c>
      <c r="I21" s="9" t="s">
        <v>237</v>
      </c>
      <c r="J21" s="9" t="s">
        <v>237</v>
      </c>
      <c r="K21" s="9" t="s">
        <v>237</v>
      </c>
      <c r="L21" s="9" t="s">
        <v>237</v>
      </c>
      <c r="M21" s="9" t="s">
        <v>237</v>
      </c>
      <c r="N21" s="9" t="s">
        <v>237</v>
      </c>
      <c r="O21" s="9" t="s">
        <v>237</v>
      </c>
      <c r="P21" s="9" t="s">
        <v>237</v>
      </c>
    </row>
    <row r="22" spans="1:16" ht="15">
      <c r="A22" s="9">
        <v>100</v>
      </c>
      <c r="B22" s="9" t="s">
        <v>276</v>
      </c>
      <c r="C22" s="9" t="s">
        <v>277</v>
      </c>
      <c r="D22" s="9" t="s">
        <v>237</v>
      </c>
      <c r="E22" s="9" t="s">
        <v>237</v>
      </c>
      <c r="F22" s="9" t="s">
        <v>237</v>
      </c>
      <c r="G22" s="9" t="s">
        <v>237</v>
      </c>
      <c r="H22" s="9" t="s">
        <v>237</v>
      </c>
      <c r="I22" s="9" t="s">
        <v>237</v>
      </c>
      <c r="J22" s="9" t="s">
        <v>237</v>
      </c>
      <c r="K22" s="9" t="s">
        <v>237</v>
      </c>
      <c r="L22" s="9" t="s">
        <v>237</v>
      </c>
      <c r="M22" s="9" t="s">
        <v>237</v>
      </c>
      <c r="N22" s="9" t="s">
        <v>237</v>
      </c>
      <c r="O22" s="9" t="s">
        <v>237</v>
      </c>
      <c r="P22" s="9" t="s">
        <v>237</v>
      </c>
    </row>
    <row r="23" spans="1:16" ht="15">
      <c r="A23" s="9">
        <v>100</v>
      </c>
      <c r="B23" s="9" t="s">
        <v>278</v>
      </c>
      <c r="C23" s="9" t="s">
        <v>279</v>
      </c>
      <c r="D23" s="9" t="s">
        <v>237</v>
      </c>
      <c r="E23" s="9"/>
      <c r="F23" s="9"/>
      <c r="G23" s="9" t="s">
        <v>237</v>
      </c>
      <c r="H23" s="9" t="s">
        <v>237</v>
      </c>
      <c r="I23" s="9" t="s">
        <v>237</v>
      </c>
      <c r="J23" s="9" t="s">
        <v>237</v>
      </c>
      <c r="K23" s="9" t="s">
        <v>237</v>
      </c>
      <c r="L23" s="9" t="s">
        <v>237</v>
      </c>
      <c r="M23" s="9" t="s">
        <v>237</v>
      </c>
      <c r="N23" s="9" t="s">
        <v>237</v>
      </c>
      <c r="O23" s="9" t="s">
        <v>237</v>
      </c>
      <c r="P23" s="9" t="s">
        <v>237</v>
      </c>
    </row>
    <row r="24" spans="1:16" ht="15">
      <c r="A24" s="9">
        <v>100</v>
      </c>
      <c r="B24" s="9" t="s">
        <v>280</v>
      </c>
      <c r="C24" s="9" t="s">
        <v>281</v>
      </c>
      <c r="D24" s="9" t="s">
        <v>237</v>
      </c>
      <c r="E24" s="9" t="s">
        <v>237</v>
      </c>
      <c r="F24" s="9" t="s">
        <v>237</v>
      </c>
      <c r="G24" s="9" t="s">
        <v>237</v>
      </c>
      <c r="H24" s="9" t="s">
        <v>237</v>
      </c>
      <c r="I24" s="9" t="s">
        <v>237</v>
      </c>
      <c r="J24" s="9" t="s">
        <v>237</v>
      </c>
      <c r="K24" s="9" t="s">
        <v>237</v>
      </c>
      <c r="L24" s="9" t="s">
        <v>237</v>
      </c>
      <c r="M24" s="9" t="s">
        <v>237</v>
      </c>
      <c r="N24" s="9" t="s">
        <v>237</v>
      </c>
      <c r="O24" s="9" t="s">
        <v>237</v>
      </c>
      <c r="P24" s="9" t="s">
        <v>237</v>
      </c>
    </row>
    <row r="25" spans="1:16" ht="15">
      <c r="A25" s="9">
        <v>100</v>
      </c>
      <c r="B25" s="9" t="s">
        <v>282</v>
      </c>
      <c r="C25" s="9" t="s">
        <v>283</v>
      </c>
      <c r="D25" s="9" t="s">
        <v>237</v>
      </c>
      <c r="E25" s="9" t="s">
        <v>237</v>
      </c>
      <c r="F25" s="9" t="s">
        <v>237</v>
      </c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">
      <c r="A26" s="9">
        <v>100</v>
      </c>
      <c r="B26" s="9" t="s">
        <v>284</v>
      </c>
      <c r="C26" s="9" t="s">
        <v>285</v>
      </c>
      <c r="D26" s="9" t="s">
        <v>237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5">
      <c r="A27" s="9">
        <v>1</v>
      </c>
      <c r="B27" s="9" t="s">
        <v>286</v>
      </c>
      <c r="C27" s="9" t="s">
        <v>287</v>
      </c>
      <c r="D27" s="9" t="s">
        <v>237</v>
      </c>
      <c r="E27" s="9"/>
      <c r="F27" s="9"/>
      <c r="G27" s="9"/>
      <c r="H27" s="9"/>
      <c r="I27" s="9" t="s">
        <v>237</v>
      </c>
      <c r="J27" s="9"/>
      <c r="K27" s="9"/>
      <c r="L27" s="9"/>
      <c r="M27" s="9"/>
      <c r="N27" s="9"/>
      <c r="O27" s="9"/>
      <c r="P27" s="9"/>
    </row>
    <row r="28" spans="1:16" ht="15">
      <c r="A28" s="9">
        <v>100</v>
      </c>
      <c r="B28" s="9" t="s">
        <v>288</v>
      </c>
      <c r="C28" s="9" t="s">
        <v>289</v>
      </c>
      <c r="D28" s="9" t="s">
        <v>237</v>
      </c>
      <c r="E28" s="9" t="s">
        <v>237</v>
      </c>
      <c r="F28" s="9" t="s">
        <v>237</v>
      </c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5">
      <c r="A29" s="9">
        <v>100</v>
      </c>
      <c r="B29" s="9" t="s">
        <v>290</v>
      </c>
      <c r="C29" s="9" t="s">
        <v>291</v>
      </c>
      <c r="D29" s="9" t="s">
        <v>237</v>
      </c>
      <c r="E29" s="9" t="s">
        <v>237</v>
      </c>
      <c r="F29" s="9" t="s">
        <v>237</v>
      </c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">
      <c r="A30" s="9">
        <v>100</v>
      </c>
      <c r="B30" s="9" t="s">
        <v>292</v>
      </c>
      <c r="C30" s="9" t="s">
        <v>293</v>
      </c>
      <c r="D30" s="9" t="s">
        <v>237</v>
      </c>
      <c r="E30" s="9" t="s">
        <v>237</v>
      </c>
      <c r="F30" s="9" t="s">
        <v>237</v>
      </c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">
      <c r="A32" s="30" t="s">
        <v>294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ht="15">
      <c r="A33" s="30" t="s">
        <v>295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ht="15">
      <c r="A34" s="30" t="s">
        <v>296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ht="15">
      <c r="A35" s="30" t="s">
        <v>297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</sheetData>
  <mergeCells count="4">
    <mergeCell ref="A32:P32"/>
    <mergeCell ref="A33:P33"/>
    <mergeCell ref="A34:P34"/>
    <mergeCell ref="A35:P3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Prod Plan 0115</vt:lpstr>
      <vt:lpstr>Prod Plan G</vt:lpstr>
      <vt:lpstr>Analysis</vt:lpstr>
      <vt:lpstr>Production Data</vt:lpstr>
      <vt:lpstr>Work Steps</vt:lpstr>
      <vt:lpstr>BOM Trsfm</vt:lpstr>
      <vt:lpstr>BOMInstructions</vt:lpstr>
      <vt:lpstr>Equip Matrix</vt:lpstr>
      <vt:lpstr>BOMInstructions!file584747SIJFP1247Company47Drawings47INDUSTRIAL3720T47Tenjam4725JAM0013720REV346pdf</vt:lpstr>
      <vt:lpstr>'Work Steps'!Print_Area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Hoda</cp:lastModifiedBy>
  <cp:lastPrinted>2026-01-14T21:17:05Z</cp:lastPrinted>
  <dcterms:created xsi:type="dcterms:W3CDTF">2026-01-14T17:18:45Z</dcterms:created>
  <dcterms:modified xsi:type="dcterms:W3CDTF">2026-01-15T12:56:36Z</dcterms:modified>
</cp:coreProperties>
</file>